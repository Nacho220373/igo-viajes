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Clientes" sheetId="2" r:id="rId6"/>
    <sheet state="visible" name="CuentasEmpresa" sheetId="3" r:id="rId7"/>
    <sheet state="visible" name="Pasajeros" sheetId="4" r:id="rId8"/>
    <sheet state="visible" name="Viajes" sheetId="5" r:id="rId9"/>
    <sheet state="visible" name="Transacciones" sheetId="6" r:id="rId10"/>
    <sheet state="visible" name="Servicios" sheetId="7" r:id="rId11"/>
    <sheet state="visible" name="Proveedores" sheetId="8" r:id="rId12"/>
    <sheet state="visible" name="Saldo a Favor" sheetId="9" r:id="rId13"/>
    <sheet state="visible" name="Configuracion" sheetId="10" r:id="rId14"/>
    <sheet state="visible" name="Listas" sheetId="11" r:id="rId15"/>
    <sheet state="visible" name="Roles" sheetId="12" r:id="rId16"/>
  </sheets>
  <definedNames/>
  <calcPr/>
</workbook>
</file>

<file path=xl/sharedStrings.xml><?xml version="1.0" encoding="utf-8"?>
<sst xmlns="http://schemas.openxmlformats.org/spreadsheetml/2006/main" count="276" uniqueCount="184">
  <si>
    <t>ID Usuario</t>
  </si>
  <si>
    <t>Rol</t>
  </si>
  <si>
    <t>Nombre(s)</t>
  </si>
  <si>
    <t>Apellido Paterno</t>
  </si>
  <si>
    <t>Apellido Materno</t>
  </si>
  <si>
    <t>Correo</t>
  </si>
  <si>
    <t>Contraseña</t>
  </si>
  <si>
    <t>Salt</t>
  </si>
  <si>
    <t>Hash</t>
  </si>
  <si>
    <t>Administrador</t>
  </si>
  <si>
    <t>Dulce Ivonne</t>
  </si>
  <si>
    <t>Ugarte</t>
  </si>
  <si>
    <t>Gomez</t>
  </si>
  <si>
    <t>info@igo2.travel</t>
  </si>
  <si>
    <t>********</t>
  </si>
  <si>
    <t>45e26402-94bc-4e15-a808-d583780c4e2f</t>
  </si>
  <si>
    <t>a465a562c42726b094030ab0f6abe758d0afbec82ba5c203ef922f0bc77b3c62</t>
  </si>
  <si>
    <t>ID Cliente</t>
  </si>
  <si>
    <t>Nombre Completo</t>
  </si>
  <si>
    <t>Razón Social</t>
  </si>
  <si>
    <t>Tipo Persona</t>
  </si>
  <si>
    <t>RFC</t>
  </si>
  <si>
    <t>País</t>
  </si>
  <si>
    <t>Estado</t>
  </si>
  <si>
    <t>Ciudad</t>
  </si>
  <si>
    <t>Colonia</t>
  </si>
  <si>
    <t>Calle</t>
  </si>
  <si>
    <t>Número Exterior</t>
  </si>
  <si>
    <t>Número Interior</t>
  </si>
  <si>
    <t>CP</t>
  </si>
  <si>
    <t>Lada</t>
  </si>
  <si>
    <t>Teléfono</t>
  </si>
  <si>
    <t>Token Invitacion</t>
  </si>
  <si>
    <t>Lista Telefonos</t>
  </si>
  <si>
    <t>JESUS LICEA REYES</t>
  </si>
  <si>
    <t>Física</t>
  </si>
  <si>
    <t>2002d9b9-77cc-47bf-a192-42bf799b7e7c</t>
  </si>
  <si>
    <t>[{"tipo":"Móvil","lada":"52","numero":""}]</t>
  </si>
  <si>
    <t>ID</t>
  </si>
  <si>
    <t>Nombre</t>
  </si>
  <si>
    <t>Tipo</t>
  </si>
  <si>
    <t>Banco</t>
  </si>
  <si>
    <t>Cuenta</t>
  </si>
  <si>
    <t>CONCENTRADORA</t>
  </si>
  <si>
    <t>INVEX 2.0</t>
  </si>
  <si>
    <t>ID Pasajero</t>
  </si>
  <si>
    <t>Nacionalidad</t>
  </si>
  <si>
    <t>Fecha de Nacimiento</t>
  </si>
  <si>
    <t>ID Pasaporte</t>
  </si>
  <si>
    <t>ID Visa</t>
  </si>
  <si>
    <t>JESUS</t>
  </si>
  <si>
    <t>LICEA</t>
  </si>
  <si>
    <t>REYES</t>
  </si>
  <si>
    <t>[{"tipo":"Móvil","lada":"52","numero":"5541440849"}]</t>
  </si>
  <si>
    <t>SOCORRO</t>
  </si>
  <si>
    <t>SANTANA</t>
  </si>
  <si>
    <t>PANIAGUAA</t>
  </si>
  <si>
    <t>Ciudad de México</t>
  </si>
  <si>
    <t>Alvaro Obregon</t>
  </si>
  <si>
    <t>Lomas de Guadalupe</t>
  </si>
  <si>
    <t>Lechuzas</t>
  </si>
  <si>
    <t>01720</t>
  </si>
  <si>
    <t>igza24@gmail.com</t>
  </si>
  <si>
    <t>[{"tipo":"Móvil","lada":"52","numero":"5552150020"}]</t>
  </si>
  <si>
    <t>ID Viaje</t>
  </si>
  <si>
    <t>Nombre Viaje</t>
  </si>
  <si>
    <t>Tipo de Viaje</t>
  </si>
  <si>
    <t>Fecha Inicio</t>
  </si>
  <si>
    <t>Fecha Fin</t>
  </si>
  <si>
    <t>Calificación</t>
  </si>
  <si>
    <t>Comentarios</t>
  </si>
  <si>
    <t>I2-6015-1</t>
  </si>
  <si>
    <t>I2-6015 Acapulco abr26</t>
  </si>
  <si>
    <t>ID Servicio</t>
  </si>
  <si>
    <t>Fecha Transacción</t>
  </si>
  <si>
    <t>Tipo de Transacción</t>
  </si>
  <si>
    <t>Forma de Pago</t>
  </si>
  <si>
    <t>Proveedor</t>
  </si>
  <si>
    <t>Concepto</t>
  </si>
  <si>
    <t>Monto</t>
  </si>
  <si>
    <t>Moneda</t>
  </si>
  <si>
    <t>Tipo de Cambio</t>
  </si>
  <si>
    <t>Cuenta Empresa</t>
  </si>
  <si>
    <t>Subtotal</t>
  </si>
  <si>
    <t>Monto IVA</t>
  </si>
  <si>
    <t>Tasa IVA</t>
  </si>
  <si>
    <t>No. Factura</t>
  </si>
  <si>
    <t>Google Workspace ene26</t>
  </si>
  <si>
    <t>VUELO</t>
  </si>
  <si>
    <t>ANTICIPO PAQUETE</t>
  </si>
  <si>
    <t>Categoria</t>
  </si>
  <si>
    <t>Destino</t>
  </si>
  <si>
    <t>Clave de Reservación</t>
  </si>
  <si>
    <t>Fecha Inicio del Servicio</t>
  </si>
  <si>
    <t>Fecha Fin del Servicio</t>
  </si>
  <si>
    <t>Estatus</t>
  </si>
  <si>
    <t>Costo Proveedor</t>
  </si>
  <si>
    <t>Precio Venta</t>
  </si>
  <si>
    <t>ID Proveedor</t>
  </si>
  <si>
    <t>MEX-ACA-MEX</t>
  </si>
  <si>
    <t>HYNDYI</t>
  </si>
  <si>
    <t>AEROPUERTO-HOTEL</t>
  </si>
  <si>
    <t>T2876176</t>
  </si>
  <si>
    <t>CAMINO REAL AEROPUERTO MEXICO</t>
  </si>
  <si>
    <t>71-6643258</t>
  </si>
  <si>
    <t>PALACIO MUNDO IMPERIAL</t>
  </si>
  <si>
    <t>HOTEL-AEROPUERTO</t>
  </si>
  <si>
    <t>T2876177</t>
  </si>
  <si>
    <t>GOOGLE</t>
  </si>
  <si>
    <t>GOOGLE CLOUD MEXICO</t>
  </si>
  <si>
    <t>GCM221031837</t>
  </si>
  <si>
    <t>MIGUEL HIDALGO</t>
  </si>
  <si>
    <t>LOMAS DE CHAPULTEPEC</t>
  </si>
  <si>
    <t>MONTES URALES</t>
  </si>
  <si>
    <t>Mex Rent a Car</t>
  </si>
  <si>
    <t>[{"tipo":"Oficina","lada":"52","numero":""}]</t>
  </si>
  <si>
    <t>VOLARIS</t>
  </si>
  <si>
    <t>CONCESIONARIA VUELA</t>
  </si>
  <si>
    <t>CIVITATIS</t>
  </si>
  <si>
    <t>BOL</t>
  </si>
  <si>
    <t>BEDS ONLINE</t>
  </si>
  <si>
    <t>Saldo</t>
  </si>
  <si>
    <t>Clave</t>
  </si>
  <si>
    <t>Valor</t>
  </si>
  <si>
    <t>Notas</t>
  </si>
  <si>
    <t>color_primario</t>
  </si>
  <si>
    <t>#009688</t>
  </si>
  <si>
    <t xml:space="preserve">Es para los colores de los botones y ciertas partes de la app </t>
  </si>
  <si>
    <t>nombre_empresa</t>
  </si>
  <si>
    <t>IGO2TRAVEL</t>
  </si>
  <si>
    <t xml:space="preserve">Lo que saldra en el texto del login </t>
  </si>
  <si>
    <t>logo_url</t>
  </si>
  <si>
    <t>https://i.postimg.cc/x866JRqT/7fc495df-83d1-42f9-9c3d-bfa08cddb8f6.jpg</t>
  </si>
  <si>
    <t>el logo que sale en el recuadro, recuerda poner una imagen 90x90</t>
  </si>
  <si>
    <t>app_ico_url</t>
  </si>
  <si>
    <t>https://i.postimg.cc/cHrXpVCX/logo192.png</t>
  </si>
  <si>
    <t>Categoría</t>
  </si>
  <si>
    <t>Países</t>
  </si>
  <si>
    <t>Nacionalidades</t>
  </si>
  <si>
    <t>Comisión</t>
  </si>
  <si>
    <t>vs</t>
  </si>
  <si>
    <t>Tipo Cambio</t>
  </si>
  <si>
    <t>Vacacional</t>
  </si>
  <si>
    <t>Vuelo</t>
  </si>
  <si>
    <t>Ingreso</t>
  </si>
  <si>
    <t>Clip</t>
  </si>
  <si>
    <t>((0.036)*1.16)</t>
  </si>
  <si>
    <t>México</t>
  </si>
  <si>
    <t>Mexicana</t>
  </si>
  <si>
    <t>MXN</t>
  </si>
  <si>
    <t>Cotizado</t>
  </si>
  <si>
    <t>Negocios</t>
  </si>
  <si>
    <t>Hospedaje</t>
  </si>
  <si>
    <t>Egreso</t>
  </si>
  <si>
    <t>Efectivo</t>
  </si>
  <si>
    <t>Estados Unidos</t>
  </si>
  <si>
    <t>Estado Unidense</t>
  </si>
  <si>
    <t>USD</t>
  </si>
  <si>
    <t>USD/MXN</t>
  </si>
  <si>
    <t>Realizado</t>
  </si>
  <si>
    <t>Traslado</t>
  </si>
  <si>
    <t>Abono</t>
  </si>
  <si>
    <t>Transferencia</t>
  </si>
  <si>
    <t>Brasil</t>
  </si>
  <si>
    <t>Basileña</t>
  </si>
  <si>
    <t>BRL</t>
  </si>
  <si>
    <t>BRL/MXN</t>
  </si>
  <si>
    <t>Cancelado</t>
  </si>
  <si>
    <t>Alimentos</t>
  </si>
  <si>
    <t>EUR</t>
  </si>
  <si>
    <t>EUR/MXN</t>
  </si>
  <si>
    <t>Confirmado</t>
  </si>
  <si>
    <t>Tour</t>
  </si>
  <si>
    <t>Tarjeta</t>
  </si>
  <si>
    <t>Crucero</t>
  </si>
  <si>
    <t>Renta auto</t>
  </si>
  <si>
    <t>ID Rol</t>
  </si>
  <si>
    <t>Nombre Rol</t>
  </si>
  <si>
    <t>Nivel Acceso</t>
  </si>
  <si>
    <t>Acceso total al sistema</t>
  </si>
  <si>
    <t>Pasajero</t>
  </si>
  <si>
    <t>Solo ve sus viajes y perfil</t>
  </si>
  <si>
    <t>Cliente</t>
  </si>
  <si>
    <t>(Futuro: Ver solo sus pasajeros asignados)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</si>
</sst>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yyyy-mm-dd"/>
    <numFmt numFmtId="166" formatCode="d/m/yyyy"/>
    <numFmt numFmtId="167" formatCode="&quot;$&quot;#,##0.00"/>
    <numFmt numFmtId="168" formatCode="yyyy-mm-dd h:mm"/>
    <numFmt numFmtId="169" formatCode="d/m/yyyy 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sz val="11.0"/>
      <color rgb="FF1F1F1F"/>
      <name val="Arial"/>
    </font>
    <font>
      <sz val="11.0"/>
      <color rgb="FF000000"/>
      <name val="&quot;Aptos Narrow&quot;"/>
    </font>
    <font>
      <u/>
      <color rgb="FF0000FF"/>
    </font>
    <font>
      <b/>
      <sz val="11.0"/>
      <color rgb="FFFFFFFF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6" numFmtId="0" xfId="0" applyAlignment="1" applyBorder="1" applyFont="1">
      <alignment horizontal="center" readingOrder="0" shrinkToFit="0" vertical="bottom" wrapText="0"/>
    </xf>
    <xf borderId="2" fillId="2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right"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4" fillId="2" fontId="6" numFmtId="0" xfId="0" applyAlignment="1" applyBorder="1" applyFont="1">
      <alignment readingOrder="0" shrinkToFit="0" vertical="bottom" wrapText="0"/>
    </xf>
    <xf borderId="5" fillId="2" fontId="6" numFmtId="0" xfId="0" applyAlignment="1" applyBorder="1" applyFont="1">
      <alignment readingOrder="0" shrinkToFit="0" vertical="bottom" wrapText="0"/>
    </xf>
    <xf borderId="3" fillId="3" fontId="7" numFmtId="0" xfId="0" applyAlignment="1" applyBorder="1" applyFill="1" applyFont="1">
      <alignment horizontal="right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4" fillId="3" fontId="4" numFmtId="0" xfId="0" applyAlignment="1" applyBorder="1" applyFont="1">
      <alignment horizontal="right" readingOrder="0" shrinkToFit="0" vertical="bottom" wrapText="0"/>
    </xf>
    <xf borderId="5" fillId="3" fontId="4" numFmtId="0" xfId="0" applyAlignment="1" applyBorder="1" applyFont="1">
      <alignment horizontal="right"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5" fillId="3" fontId="4" numFmtId="167" xfId="0" applyAlignment="1" applyBorder="1" applyFont="1" applyNumberFormat="1">
      <alignment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167" xfId="0" applyAlignment="1" applyBorder="1" applyFont="1" applyNumberFormat="1">
      <alignment readingOrder="0" shrinkToFit="0" vertical="bottom" wrapText="0"/>
    </xf>
    <xf borderId="3" fillId="3" fontId="4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sac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9" displayName="Transacciones" name="Transacciones" id="1">
  <tableColumns count="17">
    <tableColumn name="ID Cliente" id="1"/>
    <tableColumn name="ID Pasajero" id="2"/>
    <tableColumn name="ID Viaje" id="3"/>
    <tableColumn name="ID Servicio" id="4"/>
    <tableColumn name="Fecha Transacción" id="5"/>
    <tableColumn name="Tipo de Transacción" id="6"/>
    <tableColumn name="Forma de Pago" id="7"/>
    <tableColumn name="Proveedor" id="8"/>
    <tableColumn name="Concepto" id="9"/>
    <tableColumn name="Monto" id="10"/>
    <tableColumn name="Moneda" id="11"/>
    <tableColumn name="Tipo de Cambio" id="12"/>
    <tableColumn name="Cuenta Empresa" id="13"/>
    <tableColumn name="Subtotal" id="14"/>
    <tableColumn name="Monto IVA" id="15"/>
    <tableColumn name="Tasa IVA" id="16"/>
    <tableColumn name="No. Factura" id="17"/>
  </tableColumns>
  <tableStyleInfo name="Transac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x866JRqT/7fc495df-83d1-42f9-9c3d-bfa08cddb8f6.jpg" TargetMode="External"/><Relationship Id="rId2" Type="http://schemas.openxmlformats.org/officeDocument/2006/relationships/hyperlink" Target="https://i.postimg.cc/cHrXpVCX/logo192.png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5" max="5" width="13.5"/>
    <col customWidth="1" min="6" max="6" width="13.13"/>
    <col customWidth="1" min="8" max="8" width="31.75"/>
    <col customWidth="1" min="9" max="9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16" max="16" width="10.25"/>
    <col customWidth="1" min="17" max="17" width="19.25"/>
  </cols>
  <sheetData>
    <row r="1">
      <c r="A1" s="2" t="s">
        <v>17</v>
      </c>
      <c r="B1" s="2" t="s">
        <v>18</v>
      </c>
      <c r="C1" s="2" t="s">
        <v>19</v>
      </c>
      <c r="D1" s="1" t="s">
        <v>20</v>
      </c>
      <c r="E1" s="1" t="s">
        <v>21</v>
      </c>
      <c r="F1" s="2" t="s">
        <v>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5</v>
      </c>
      <c r="R1" s="1" t="s">
        <v>32</v>
      </c>
      <c r="S1" s="1" t="s">
        <v>33</v>
      </c>
    </row>
    <row r="2">
      <c r="A2" s="3">
        <v>1.0</v>
      </c>
      <c r="B2" s="1" t="s">
        <v>34</v>
      </c>
      <c r="D2" s="1" t="s">
        <v>35</v>
      </c>
      <c r="O2" s="1">
        <v>52.0</v>
      </c>
      <c r="R2" s="1" t="s">
        <v>36</v>
      </c>
      <c r="S2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s="3">
        <v>1.0</v>
      </c>
      <c r="B2" s="1" t="s">
        <v>43</v>
      </c>
      <c r="C2" s="1" t="s">
        <v>41</v>
      </c>
      <c r="D2" s="1" t="s">
        <v>43</v>
      </c>
    </row>
    <row r="3">
      <c r="A3" s="3">
        <v>2.0</v>
      </c>
      <c r="B3" s="1" t="s">
        <v>44</v>
      </c>
      <c r="C3" s="1" t="s">
        <v>41</v>
      </c>
      <c r="D3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1" t="s">
        <v>45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5</v>
      </c>
      <c r="U1" s="1" t="s">
        <v>32</v>
      </c>
      <c r="V1" s="1" t="s">
        <v>0</v>
      </c>
      <c r="W1" s="1" t="s">
        <v>33</v>
      </c>
    </row>
    <row r="2">
      <c r="A2" s="3">
        <v>1.0</v>
      </c>
      <c r="B2" s="3">
        <v>1.0</v>
      </c>
      <c r="C2" s="1" t="s">
        <v>50</v>
      </c>
      <c r="D2" s="1" t="s">
        <v>51</v>
      </c>
      <c r="E2" s="1" t="s">
        <v>52</v>
      </c>
      <c r="F2" s="1">
        <v>1.0</v>
      </c>
      <c r="G2" s="4">
        <v>23618.0</v>
      </c>
      <c r="R2" s="1">
        <v>52.0</v>
      </c>
      <c r="S2" s="1">
        <v>5.541440849E9</v>
      </c>
      <c r="W2" s="1" t="s">
        <v>53</v>
      </c>
    </row>
    <row r="3">
      <c r="A3" s="3">
        <v>2.0</v>
      </c>
      <c r="B3" s="3">
        <v>1.0</v>
      </c>
      <c r="C3" s="1" t="s">
        <v>54</v>
      </c>
      <c r="D3" s="1" t="s">
        <v>55</v>
      </c>
      <c r="E3" s="1" t="s">
        <v>56</v>
      </c>
      <c r="F3" s="1">
        <v>1.0</v>
      </c>
      <c r="G3" s="4">
        <v>23961.0</v>
      </c>
      <c r="H3" s="1">
        <v>12345.0</v>
      </c>
      <c r="I3" s="1">
        <v>122564.0</v>
      </c>
      <c r="J3" s="1">
        <v>1.0</v>
      </c>
      <c r="K3" s="1" t="s">
        <v>57</v>
      </c>
      <c r="L3" s="1" t="s">
        <v>58</v>
      </c>
      <c r="M3" s="1" t="s">
        <v>59</v>
      </c>
      <c r="N3" s="1" t="s">
        <v>60</v>
      </c>
      <c r="O3" s="1">
        <v>36.0</v>
      </c>
      <c r="Q3" s="5" t="s">
        <v>61</v>
      </c>
      <c r="R3" s="1">
        <v>52.0</v>
      </c>
      <c r="S3" s="1">
        <v>5.55215002E9</v>
      </c>
      <c r="T3" s="1" t="s">
        <v>62</v>
      </c>
      <c r="W3" s="1" t="s">
        <v>63</v>
      </c>
    </row>
    <row r="4">
      <c r="G4" s="6"/>
    </row>
    <row r="5">
      <c r="G5" s="6"/>
    </row>
    <row r="6">
      <c r="G6" s="6"/>
    </row>
    <row r="7">
      <c r="G7" s="6"/>
    </row>
    <row r="8">
      <c r="G8" s="6"/>
    </row>
    <row r="9">
      <c r="G9" s="6"/>
    </row>
    <row r="10">
      <c r="G10" s="6"/>
    </row>
    <row r="11">
      <c r="G11" s="6"/>
    </row>
    <row r="12">
      <c r="G12" s="6"/>
    </row>
    <row r="13">
      <c r="G13" s="6"/>
    </row>
    <row r="14">
      <c r="G14" s="6"/>
    </row>
    <row r="15">
      <c r="G15" s="6"/>
    </row>
    <row r="16">
      <c r="G16" s="6"/>
    </row>
    <row r="17">
      <c r="G17" s="6"/>
    </row>
    <row r="18">
      <c r="G18" s="6"/>
    </row>
    <row r="19">
      <c r="G19" s="6"/>
    </row>
    <row r="20">
      <c r="G20" s="6"/>
    </row>
    <row r="21">
      <c r="G21" s="6"/>
    </row>
    <row r="22">
      <c r="G22" s="6"/>
    </row>
    <row r="23">
      <c r="G23" s="6"/>
    </row>
    <row r="24">
      <c r="G24" s="6"/>
    </row>
    <row r="25">
      <c r="G25" s="6"/>
    </row>
    <row r="26">
      <c r="G26" s="6"/>
    </row>
    <row r="27">
      <c r="G27" s="6"/>
    </row>
    <row r="28">
      <c r="G28" s="6"/>
    </row>
    <row r="29">
      <c r="G29" s="6"/>
    </row>
    <row r="30">
      <c r="G30" s="6"/>
    </row>
    <row r="31">
      <c r="G31" s="6"/>
    </row>
    <row r="32">
      <c r="G32" s="6"/>
    </row>
    <row r="33">
      <c r="G33" s="6"/>
    </row>
    <row r="34">
      <c r="G34" s="6"/>
    </row>
    <row r="35">
      <c r="G35" s="6"/>
    </row>
    <row r="36">
      <c r="G36" s="6"/>
    </row>
    <row r="37">
      <c r="G37" s="6"/>
    </row>
    <row r="38">
      <c r="G38" s="6"/>
    </row>
    <row r="39">
      <c r="G39" s="6"/>
    </row>
    <row r="40">
      <c r="G40" s="6"/>
    </row>
    <row r="41">
      <c r="G41" s="6"/>
    </row>
    <row r="42">
      <c r="G42" s="6"/>
    </row>
    <row r="43">
      <c r="G43" s="6"/>
    </row>
    <row r="44">
      <c r="G44" s="6"/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2" t="s">
        <v>64</v>
      </c>
      <c r="B1" s="2" t="s">
        <v>65</v>
      </c>
      <c r="C1" s="2" t="s">
        <v>66</v>
      </c>
      <c r="D1" s="2" t="s">
        <v>17</v>
      </c>
      <c r="E1" s="2" t="s">
        <v>67</v>
      </c>
      <c r="F1" s="1" t="s">
        <v>68</v>
      </c>
      <c r="G1" s="1" t="s">
        <v>69</v>
      </c>
      <c r="H1" s="1" t="s">
        <v>70</v>
      </c>
    </row>
    <row r="2">
      <c r="A2" s="2" t="s">
        <v>71</v>
      </c>
      <c r="B2" s="2" t="s">
        <v>72</v>
      </c>
      <c r="C2" s="2">
        <v>1.0</v>
      </c>
      <c r="D2" s="2">
        <v>1.0</v>
      </c>
      <c r="E2" s="7">
        <v>46113.0</v>
      </c>
      <c r="F2" s="8">
        <v>46116.0</v>
      </c>
    </row>
    <row r="3">
      <c r="A3" s="2"/>
      <c r="B3" s="2"/>
      <c r="C3" s="2"/>
      <c r="D3" s="2"/>
      <c r="E3" s="7"/>
      <c r="F3" s="8"/>
    </row>
    <row r="4">
      <c r="E4" s="8"/>
      <c r="F4" s="8"/>
    </row>
    <row r="5">
      <c r="A5" s="9"/>
      <c r="B5" s="10"/>
      <c r="C5" s="11"/>
      <c r="D5" s="11"/>
      <c r="E5" s="12"/>
      <c r="F5" s="12"/>
    </row>
    <row r="6">
      <c r="A6" s="9"/>
      <c r="B6" s="10"/>
      <c r="C6" s="11"/>
      <c r="D6" s="11"/>
      <c r="E6" s="12"/>
      <c r="F6" s="12"/>
    </row>
    <row r="7">
      <c r="A7" s="9"/>
      <c r="B7" s="10"/>
      <c r="C7" s="11"/>
      <c r="D7" s="11"/>
      <c r="E7" s="12"/>
      <c r="F7" s="12"/>
    </row>
    <row r="8">
      <c r="A8" s="9"/>
      <c r="B8" s="10"/>
      <c r="C8" s="11"/>
      <c r="D8" s="11"/>
      <c r="E8" s="12"/>
      <c r="F8" s="12"/>
    </row>
    <row r="9">
      <c r="A9" s="9"/>
      <c r="B9" s="10"/>
      <c r="C9" s="11"/>
      <c r="D9" s="11"/>
      <c r="E9" s="12"/>
      <c r="F9" s="12"/>
    </row>
    <row r="10">
      <c r="A10" s="9"/>
      <c r="B10" s="10"/>
      <c r="C10" s="11"/>
      <c r="D10" s="11"/>
      <c r="E10" s="12"/>
      <c r="F10" s="12"/>
    </row>
    <row r="11">
      <c r="A11" s="9"/>
      <c r="B11" s="10"/>
      <c r="C11" s="11"/>
      <c r="D11" s="11"/>
      <c r="E11" s="12"/>
      <c r="F11" s="12"/>
    </row>
    <row r="12">
      <c r="A12" s="9"/>
      <c r="B12" s="10"/>
      <c r="C12" s="11"/>
      <c r="D12" s="11"/>
      <c r="E12" s="12"/>
      <c r="F12" s="12"/>
    </row>
    <row r="13">
      <c r="A13" s="9"/>
      <c r="B13" s="10"/>
      <c r="C13" s="11"/>
      <c r="D13" s="11"/>
      <c r="E13" s="12"/>
      <c r="F13" s="12"/>
    </row>
    <row r="14">
      <c r="A14" s="9"/>
      <c r="B14" s="10"/>
      <c r="C14" s="11"/>
      <c r="D14" s="11"/>
      <c r="E14" s="12"/>
      <c r="F14" s="12"/>
    </row>
    <row r="15">
      <c r="A15" s="9"/>
      <c r="B15" s="10"/>
      <c r="C15" s="11"/>
      <c r="D15" s="11"/>
      <c r="E15" s="12"/>
      <c r="F15" s="12"/>
    </row>
    <row r="16">
      <c r="A16" s="9"/>
      <c r="B16" s="10"/>
      <c r="C16" s="11"/>
      <c r="D16" s="11"/>
      <c r="E16" s="12"/>
      <c r="F16" s="12"/>
    </row>
    <row r="17">
      <c r="A17" s="9"/>
      <c r="B17" s="10"/>
      <c r="C17" s="11"/>
      <c r="D17" s="11"/>
      <c r="E17" s="12"/>
      <c r="F17" s="12"/>
    </row>
    <row r="18">
      <c r="A18" s="9"/>
      <c r="B18" s="10"/>
      <c r="C18" s="11"/>
      <c r="D18" s="11"/>
      <c r="E18" s="12"/>
      <c r="F18" s="12"/>
    </row>
    <row r="19">
      <c r="A19" s="9"/>
      <c r="B19" s="10"/>
      <c r="C19" s="11"/>
      <c r="D19" s="11"/>
      <c r="E19" s="12"/>
      <c r="F19" s="12"/>
    </row>
    <row r="20">
      <c r="A20" s="9"/>
      <c r="B20" s="10"/>
      <c r="C20" s="11"/>
      <c r="D20" s="11"/>
      <c r="E20" s="12"/>
      <c r="F20" s="12"/>
    </row>
    <row r="21">
      <c r="A21" s="9"/>
      <c r="B21" s="10"/>
      <c r="C21" s="11"/>
      <c r="D21" s="11"/>
      <c r="E21" s="12"/>
      <c r="F21" s="12"/>
    </row>
    <row r="22">
      <c r="A22" s="9"/>
      <c r="B22" s="10"/>
      <c r="C22" s="11"/>
      <c r="D22" s="11"/>
      <c r="E22" s="12"/>
      <c r="F22" s="12"/>
    </row>
    <row r="23">
      <c r="A23" s="9"/>
      <c r="B23" s="10"/>
      <c r="C23" s="11"/>
      <c r="D23" s="11"/>
      <c r="E23" s="12"/>
      <c r="F23" s="12"/>
    </row>
    <row r="24">
      <c r="A24" s="9"/>
      <c r="B24" s="10"/>
      <c r="C24" s="11"/>
      <c r="D24" s="11"/>
      <c r="E24" s="12"/>
      <c r="F24" s="12"/>
    </row>
    <row r="25">
      <c r="A25" s="9"/>
      <c r="B25" s="10"/>
      <c r="C25" s="11"/>
      <c r="D25" s="11"/>
      <c r="E25" s="12"/>
      <c r="F25" s="12"/>
    </row>
    <row r="26">
      <c r="A26" s="9"/>
      <c r="B26" s="10"/>
      <c r="C26" s="11"/>
      <c r="D26" s="11"/>
      <c r="E26" s="12"/>
      <c r="F26" s="12"/>
    </row>
    <row r="27">
      <c r="A27" s="9"/>
      <c r="B27" s="10"/>
      <c r="C27" s="11"/>
      <c r="D27" s="11"/>
      <c r="E27" s="12"/>
      <c r="F27" s="12"/>
    </row>
    <row r="28">
      <c r="A28" s="9"/>
      <c r="B28" s="10"/>
      <c r="C28" s="11"/>
      <c r="D28" s="11"/>
      <c r="E28" s="12"/>
      <c r="F28" s="12"/>
    </row>
    <row r="29">
      <c r="A29" s="9"/>
      <c r="B29" s="10"/>
      <c r="C29" s="11"/>
      <c r="D29" s="11"/>
      <c r="E29" s="12"/>
      <c r="F29" s="12"/>
    </row>
    <row r="30">
      <c r="A30" s="9"/>
      <c r="B30" s="10"/>
      <c r="C30" s="11"/>
      <c r="D30" s="11"/>
      <c r="E30" s="12"/>
      <c r="F30" s="12"/>
    </row>
    <row r="31">
      <c r="A31" s="9"/>
      <c r="B31" s="10"/>
      <c r="C31" s="11"/>
      <c r="D31" s="11"/>
      <c r="E31" s="12"/>
      <c r="F31" s="12"/>
    </row>
    <row r="32">
      <c r="A32" s="9"/>
      <c r="B32" s="10"/>
      <c r="C32" s="11"/>
      <c r="D32" s="11"/>
      <c r="E32" s="12"/>
      <c r="F32" s="12"/>
    </row>
    <row r="33">
      <c r="A33" s="9"/>
      <c r="B33" s="10"/>
      <c r="C33" s="11"/>
      <c r="D33" s="11"/>
      <c r="E33" s="12"/>
      <c r="F33" s="12"/>
    </row>
    <row r="34">
      <c r="A34" s="9"/>
      <c r="B34" s="10"/>
      <c r="C34" s="11"/>
      <c r="D34" s="11"/>
      <c r="E34" s="12"/>
      <c r="F34" s="12"/>
    </row>
    <row r="35">
      <c r="A35" s="9"/>
      <c r="B35" s="10"/>
      <c r="C35" s="11"/>
      <c r="D35" s="11"/>
      <c r="E35" s="12"/>
      <c r="F35" s="12"/>
    </row>
    <row r="36">
      <c r="A36" s="9"/>
      <c r="B36" s="10"/>
      <c r="C36" s="11"/>
      <c r="D36" s="11"/>
      <c r="E36" s="12"/>
      <c r="F36" s="12"/>
    </row>
    <row r="37">
      <c r="A37" s="9"/>
      <c r="B37" s="10"/>
      <c r="C37" s="11"/>
      <c r="D37" s="11"/>
      <c r="E37" s="12"/>
      <c r="F37" s="12"/>
    </row>
    <row r="38">
      <c r="A38" s="9"/>
      <c r="B38" s="10"/>
      <c r="C38" s="11"/>
      <c r="D38" s="11"/>
      <c r="E38" s="12"/>
      <c r="F38" s="12"/>
    </row>
    <row r="39">
      <c r="A39" s="9"/>
      <c r="B39" s="10"/>
      <c r="C39" s="11"/>
      <c r="D39" s="11"/>
      <c r="E39" s="12"/>
      <c r="F39" s="12"/>
    </row>
    <row r="40">
      <c r="E40" s="13"/>
      <c r="F40" s="13"/>
    </row>
    <row r="41">
      <c r="E41" s="8"/>
      <c r="F41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0"/>
    <col customWidth="1" min="4" max="4" width="13.38"/>
    <col customWidth="1" min="5" max="5" width="22.75"/>
    <col customWidth="1" min="6" max="6" width="23.75"/>
    <col customWidth="1" min="7" max="7" width="16.75"/>
    <col customWidth="1" min="8" max="8" width="13.0"/>
    <col customWidth="1" min="9" max="9" width="27.63"/>
    <col customWidth="1" min="10" max="10" width="13.5"/>
    <col customWidth="1" min="12" max="12" width="17.13"/>
  </cols>
  <sheetData>
    <row r="1" ht="22.5" customHeight="1">
      <c r="A1" s="14" t="s">
        <v>17</v>
      </c>
      <c r="B1" s="14" t="s">
        <v>45</v>
      </c>
      <c r="C1" s="14" t="s">
        <v>64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77</v>
      </c>
      <c r="I1" s="14" t="s">
        <v>78</v>
      </c>
      <c r="J1" s="14" t="s">
        <v>79</v>
      </c>
      <c r="K1" s="14" t="s">
        <v>80</v>
      </c>
      <c r="L1" s="14" t="s">
        <v>81</v>
      </c>
      <c r="M1" s="14" t="s">
        <v>82</v>
      </c>
      <c r="N1" s="14" t="s">
        <v>83</v>
      </c>
      <c r="O1" s="14" t="s">
        <v>84</v>
      </c>
      <c r="P1" s="14" t="s">
        <v>85</v>
      </c>
      <c r="Q1" s="14" t="s">
        <v>86</v>
      </c>
    </row>
    <row r="2" ht="22.5" customHeight="1">
      <c r="A2" s="15"/>
      <c r="E2" s="16">
        <v>46023.0</v>
      </c>
      <c r="F2" s="15">
        <v>2.0</v>
      </c>
      <c r="G2" s="17">
        <v>5.0</v>
      </c>
      <c r="H2" s="18">
        <v>16.0</v>
      </c>
      <c r="I2" s="17" t="s">
        <v>87</v>
      </c>
      <c r="J2" s="19">
        <v>162.4</v>
      </c>
      <c r="K2" s="17">
        <v>1.0</v>
      </c>
      <c r="L2" s="18">
        <v>1.0</v>
      </c>
      <c r="M2" s="20"/>
      <c r="N2" s="21">
        <v>140.0</v>
      </c>
      <c r="O2" s="21">
        <v>22.400000000000002</v>
      </c>
      <c r="P2" s="21">
        <v>16.0</v>
      </c>
      <c r="Q2" s="20"/>
    </row>
    <row r="3" ht="22.5" customHeight="1">
      <c r="A3" s="15"/>
      <c r="C3" s="22" t="s">
        <v>71</v>
      </c>
      <c r="D3" s="18">
        <v>1.0</v>
      </c>
      <c r="E3" s="16">
        <v>46070.0</v>
      </c>
      <c r="F3" s="15">
        <v>2.0</v>
      </c>
      <c r="G3" s="17">
        <v>5.0</v>
      </c>
      <c r="H3" s="18">
        <v>3.0</v>
      </c>
      <c r="I3" s="17" t="s">
        <v>88</v>
      </c>
      <c r="J3" s="19">
        <v>12130.0</v>
      </c>
      <c r="K3" s="17">
        <v>1.0</v>
      </c>
      <c r="L3" s="18">
        <v>1.0</v>
      </c>
      <c r="M3" s="23">
        <v>2.0</v>
      </c>
      <c r="N3" s="20"/>
      <c r="O3" s="20"/>
      <c r="P3" s="20"/>
      <c r="Q3" s="20"/>
    </row>
    <row r="4" ht="22.5" customHeight="1">
      <c r="A4" s="15">
        <v>1.0</v>
      </c>
      <c r="C4" s="22" t="s">
        <v>71</v>
      </c>
      <c r="E4" s="16">
        <v>46070.0</v>
      </c>
      <c r="F4" s="15">
        <v>3.0</v>
      </c>
      <c r="G4" s="17">
        <v>3.0</v>
      </c>
      <c r="I4" s="17" t="s">
        <v>89</v>
      </c>
      <c r="J4" s="19">
        <v>13000.0</v>
      </c>
      <c r="K4" s="17">
        <v>1.0</v>
      </c>
      <c r="L4" s="18">
        <v>1.0</v>
      </c>
      <c r="M4" s="23">
        <v>1.0</v>
      </c>
      <c r="N4" s="20"/>
      <c r="O4" s="20"/>
      <c r="P4" s="20"/>
      <c r="Q4" s="20"/>
    </row>
    <row r="5" ht="22.5" customHeight="1">
      <c r="A5" s="15">
        <v>1.0</v>
      </c>
      <c r="C5" s="22" t="s">
        <v>71</v>
      </c>
      <c r="D5" s="18">
        <v>1.0</v>
      </c>
      <c r="E5" s="16">
        <v>46070.0</v>
      </c>
      <c r="F5" s="15">
        <v>1.0</v>
      </c>
      <c r="G5" s="17">
        <v>4.0</v>
      </c>
      <c r="I5" s="17" t="s">
        <v>88</v>
      </c>
      <c r="J5" s="19">
        <v>12994.0</v>
      </c>
      <c r="K5" s="17">
        <v>1.0</v>
      </c>
      <c r="L5" s="18">
        <v>1.0</v>
      </c>
      <c r="M5" s="20"/>
      <c r="N5" s="20"/>
      <c r="O5" s="20"/>
      <c r="P5" s="20"/>
      <c r="Q5" s="20"/>
    </row>
    <row r="6" ht="22.5" customHeight="1">
      <c r="A6" s="15"/>
      <c r="E6" s="16"/>
      <c r="F6" s="15"/>
      <c r="J6" s="19"/>
      <c r="M6" s="20"/>
      <c r="N6" s="20"/>
      <c r="O6" s="20"/>
      <c r="P6" s="20"/>
      <c r="Q6" s="20"/>
    </row>
    <row r="7" ht="22.5" customHeight="1">
      <c r="A7" s="15"/>
      <c r="E7" s="16"/>
      <c r="F7" s="15"/>
      <c r="J7" s="19"/>
      <c r="M7" s="20"/>
      <c r="N7" s="20"/>
      <c r="O7" s="20"/>
      <c r="P7" s="20"/>
      <c r="Q7" s="20"/>
    </row>
    <row r="8" ht="22.5" customHeight="1">
      <c r="A8" s="24"/>
      <c r="B8" s="23"/>
      <c r="C8" s="23"/>
      <c r="D8" s="23"/>
      <c r="E8" s="25"/>
      <c r="F8" s="24"/>
      <c r="G8" s="23"/>
      <c r="H8" s="20"/>
      <c r="I8" s="23"/>
      <c r="J8" s="26"/>
      <c r="K8" s="23"/>
      <c r="L8" s="21"/>
      <c r="M8" s="21"/>
      <c r="N8" s="21"/>
      <c r="O8" s="21"/>
      <c r="P8" s="21"/>
      <c r="Q8" s="21"/>
    </row>
    <row r="9" ht="22.5" customHeight="1">
      <c r="A9" s="24"/>
      <c r="B9" s="23"/>
      <c r="C9" s="23"/>
      <c r="D9" s="23"/>
      <c r="E9" s="25"/>
      <c r="F9" s="24"/>
      <c r="G9" s="23"/>
      <c r="H9" s="20"/>
      <c r="I9" s="23"/>
      <c r="J9" s="26"/>
      <c r="K9" s="23"/>
      <c r="L9" s="21"/>
      <c r="M9" s="21"/>
      <c r="N9" s="21"/>
      <c r="O9" s="21"/>
      <c r="P9" s="21"/>
      <c r="Q9" s="21"/>
    </row>
    <row r="10" ht="22.5" customHeight="1">
      <c r="A10" s="24"/>
      <c r="B10" s="23"/>
      <c r="C10" s="23"/>
      <c r="D10" s="23"/>
      <c r="E10" s="25"/>
      <c r="F10" s="24"/>
      <c r="G10" s="23"/>
      <c r="H10" s="20"/>
      <c r="I10" s="23"/>
      <c r="J10" s="26"/>
      <c r="K10" s="23"/>
      <c r="L10" s="21"/>
      <c r="M10" s="21"/>
      <c r="N10" s="21"/>
      <c r="O10" s="21"/>
      <c r="P10" s="21"/>
      <c r="Q10" s="21"/>
    </row>
    <row r="11" ht="22.5" customHeight="1">
      <c r="A11" s="27"/>
      <c r="B11" s="28"/>
      <c r="C11" s="29"/>
      <c r="D11" s="29"/>
      <c r="E11" s="30"/>
      <c r="F11" s="31"/>
      <c r="G11" s="30"/>
      <c r="H11" s="32"/>
      <c r="I11" s="33"/>
      <c r="J11" s="34"/>
      <c r="K11" s="29"/>
      <c r="L11" s="29"/>
      <c r="M11" s="35"/>
      <c r="N11" s="35"/>
      <c r="O11" s="35"/>
      <c r="P11" s="35"/>
      <c r="Q11" s="35"/>
    </row>
    <row r="12" ht="22.5" customHeight="1">
      <c r="A12" s="27"/>
      <c r="B12" s="28"/>
      <c r="C12" s="29"/>
      <c r="D12" s="29"/>
      <c r="E12" s="30"/>
      <c r="F12" s="31"/>
      <c r="G12" s="28"/>
      <c r="H12" s="30"/>
      <c r="I12" s="33"/>
      <c r="J12" s="34"/>
      <c r="K12" s="29"/>
      <c r="L12" s="29"/>
      <c r="M12" s="35"/>
      <c r="N12" s="35"/>
      <c r="O12" s="35"/>
      <c r="P12" s="35"/>
      <c r="Q12" s="35"/>
    </row>
    <row r="13" ht="22.5" customHeight="1">
      <c r="A13" s="27"/>
      <c r="B13" s="28"/>
      <c r="C13" s="29"/>
      <c r="D13" s="29"/>
      <c r="E13" s="30"/>
      <c r="F13" s="31"/>
      <c r="G13" s="30"/>
      <c r="H13" s="32"/>
      <c r="I13" s="33"/>
      <c r="J13" s="34"/>
      <c r="K13" s="29"/>
      <c r="L13" s="29"/>
      <c r="M13" s="35"/>
      <c r="N13" s="35"/>
      <c r="O13" s="35"/>
      <c r="P13" s="35"/>
      <c r="Q13" s="35"/>
    </row>
    <row r="14" ht="22.5" customHeight="1">
      <c r="A14" s="27"/>
      <c r="B14" s="28"/>
      <c r="C14" s="29"/>
      <c r="D14" s="29"/>
      <c r="E14" s="30"/>
      <c r="F14" s="31"/>
      <c r="G14" s="28"/>
      <c r="H14" s="30"/>
      <c r="I14" s="33"/>
      <c r="J14" s="34"/>
      <c r="K14" s="29"/>
      <c r="L14" s="29"/>
      <c r="M14" s="35"/>
      <c r="N14" s="35"/>
      <c r="O14" s="35"/>
      <c r="P14" s="35"/>
      <c r="Q14" s="35"/>
    </row>
    <row r="15" ht="22.5" customHeight="1">
      <c r="A15" s="27"/>
      <c r="B15" s="28"/>
      <c r="C15" s="29"/>
      <c r="D15" s="29"/>
      <c r="E15" s="30"/>
      <c r="F15" s="31"/>
      <c r="G15" s="30"/>
      <c r="H15" s="32"/>
      <c r="I15" s="33"/>
      <c r="J15" s="34"/>
      <c r="K15" s="29"/>
      <c r="L15" s="29"/>
      <c r="M15" s="35"/>
      <c r="N15" s="35"/>
      <c r="O15" s="35"/>
      <c r="P15" s="35"/>
      <c r="Q15" s="35"/>
    </row>
    <row r="16" ht="22.5" customHeight="1">
      <c r="A16" s="27"/>
      <c r="B16" s="28"/>
      <c r="C16" s="29"/>
      <c r="D16" s="29"/>
      <c r="E16" s="30"/>
      <c r="F16" s="31"/>
      <c r="G16" s="28"/>
      <c r="H16" s="30"/>
      <c r="I16" s="33"/>
      <c r="J16" s="34"/>
      <c r="K16" s="29"/>
      <c r="L16" s="29"/>
      <c r="M16" s="35"/>
      <c r="N16" s="35"/>
      <c r="O16" s="35"/>
      <c r="P16" s="35"/>
      <c r="Q16" s="35"/>
    </row>
    <row r="17" ht="22.5" customHeight="1">
      <c r="A17" s="27"/>
      <c r="B17" s="28"/>
      <c r="C17" s="29"/>
      <c r="D17" s="29"/>
      <c r="E17" s="30"/>
      <c r="F17" s="31"/>
      <c r="G17" s="30"/>
      <c r="H17" s="32"/>
      <c r="I17" s="33"/>
      <c r="J17" s="34"/>
      <c r="K17" s="29"/>
      <c r="L17" s="29"/>
      <c r="M17" s="35"/>
      <c r="N17" s="35"/>
      <c r="O17" s="35"/>
      <c r="P17" s="35"/>
      <c r="Q17" s="35"/>
    </row>
    <row r="18" ht="22.5" customHeight="1">
      <c r="A18" s="27"/>
      <c r="B18" s="28"/>
      <c r="C18" s="29"/>
      <c r="D18" s="29"/>
      <c r="E18" s="30"/>
      <c r="F18" s="31"/>
      <c r="G18" s="30"/>
      <c r="H18" s="32"/>
      <c r="I18" s="33"/>
      <c r="J18" s="34"/>
      <c r="K18" s="29"/>
      <c r="L18" s="29"/>
      <c r="M18" s="35"/>
      <c r="N18" s="35"/>
      <c r="O18" s="35"/>
      <c r="P18" s="35"/>
      <c r="Q18" s="35"/>
    </row>
    <row r="19" ht="22.5" customHeight="1">
      <c r="A19" s="27"/>
      <c r="B19" s="28"/>
      <c r="C19" s="29"/>
      <c r="D19" s="29"/>
      <c r="E19" s="30"/>
      <c r="F19" s="31"/>
      <c r="G19" s="28"/>
      <c r="H19" s="30"/>
      <c r="I19" s="33"/>
      <c r="J19" s="34"/>
      <c r="K19" s="29"/>
      <c r="L19" s="29"/>
      <c r="M19" s="35"/>
      <c r="N19" s="35"/>
      <c r="O19" s="35"/>
      <c r="P19" s="35"/>
      <c r="Q19" s="35"/>
    </row>
    <row r="20" ht="22.5" customHeight="1">
      <c r="A20" s="27"/>
      <c r="B20" s="28"/>
      <c r="C20" s="29"/>
      <c r="D20" s="29"/>
      <c r="E20" s="30"/>
      <c r="F20" s="31"/>
      <c r="G20" s="29"/>
      <c r="H20" s="32"/>
      <c r="I20" s="33"/>
      <c r="J20" s="34"/>
      <c r="K20" s="29"/>
      <c r="L20" s="29"/>
      <c r="M20" s="35"/>
      <c r="N20" s="35"/>
      <c r="O20" s="35"/>
      <c r="P20" s="35"/>
      <c r="Q20" s="35"/>
    </row>
    <row r="21" ht="22.5" customHeight="1">
      <c r="A21" s="27"/>
      <c r="B21" s="28"/>
      <c r="C21" s="29"/>
      <c r="D21" s="29"/>
      <c r="E21" s="30"/>
      <c r="F21" s="31"/>
      <c r="G21" s="29"/>
      <c r="H21" s="32"/>
      <c r="I21" s="33"/>
      <c r="J21" s="34"/>
      <c r="K21" s="29"/>
      <c r="L21" s="29"/>
      <c r="M21" s="35"/>
      <c r="N21" s="35"/>
      <c r="O21" s="35"/>
      <c r="P21" s="35"/>
      <c r="Q21" s="35"/>
    </row>
    <row r="22" ht="22.5" customHeight="1">
      <c r="A22" s="27"/>
      <c r="B22" s="28"/>
      <c r="C22" s="29"/>
      <c r="D22" s="29"/>
      <c r="E22" s="30"/>
      <c r="F22" s="31"/>
      <c r="G22" s="29"/>
      <c r="H22" s="32"/>
      <c r="I22" s="33"/>
      <c r="J22" s="34"/>
      <c r="K22" s="29"/>
      <c r="L22" s="29"/>
      <c r="M22" s="35"/>
      <c r="N22" s="35"/>
      <c r="O22" s="35"/>
      <c r="P22" s="35"/>
      <c r="Q22" s="35"/>
    </row>
    <row r="23" ht="22.5" customHeight="1">
      <c r="A23" s="27"/>
      <c r="B23" s="28"/>
      <c r="C23" s="29"/>
      <c r="D23" s="29"/>
      <c r="E23" s="30"/>
      <c r="F23" s="31"/>
      <c r="G23" s="29"/>
      <c r="H23" s="32"/>
      <c r="I23" s="33"/>
      <c r="J23" s="34"/>
      <c r="K23" s="29"/>
      <c r="L23" s="29"/>
      <c r="M23" s="35"/>
      <c r="N23" s="35"/>
      <c r="O23" s="35"/>
      <c r="P23" s="35"/>
      <c r="Q23" s="35"/>
    </row>
    <row r="24" ht="22.5" customHeight="1">
      <c r="A24" s="27"/>
      <c r="B24" s="28"/>
      <c r="C24" s="29"/>
      <c r="D24" s="29"/>
      <c r="E24" s="30"/>
      <c r="F24" s="31"/>
      <c r="G24" s="29"/>
      <c r="H24" s="32"/>
      <c r="I24" s="33"/>
      <c r="J24" s="34"/>
      <c r="K24" s="29"/>
      <c r="L24" s="29"/>
      <c r="M24" s="35"/>
      <c r="N24" s="35"/>
      <c r="O24" s="35"/>
      <c r="P24" s="35"/>
      <c r="Q24" s="35"/>
    </row>
    <row r="25" ht="22.5" customHeight="1">
      <c r="A25" s="27"/>
      <c r="B25" s="28"/>
      <c r="C25" s="29"/>
      <c r="D25" s="29"/>
      <c r="E25" s="30"/>
      <c r="F25" s="31"/>
      <c r="G25" s="28"/>
      <c r="H25" s="29"/>
      <c r="I25" s="33"/>
      <c r="J25" s="34"/>
      <c r="K25" s="29"/>
      <c r="L25" s="29"/>
      <c r="M25" s="35"/>
      <c r="N25" s="35"/>
      <c r="O25" s="35"/>
      <c r="P25" s="35"/>
      <c r="Q25" s="35"/>
    </row>
    <row r="26" ht="22.5" customHeight="1">
      <c r="A26" s="27"/>
      <c r="B26" s="28"/>
      <c r="C26" s="29"/>
      <c r="D26" s="29"/>
      <c r="E26" s="30"/>
      <c r="F26" s="31"/>
      <c r="G26" s="29"/>
      <c r="H26" s="32"/>
      <c r="I26" s="33"/>
      <c r="J26" s="34"/>
      <c r="K26" s="29"/>
      <c r="L26" s="29"/>
      <c r="M26" s="35"/>
      <c r="N26" s="35"/>
      <c r="O26" s="35"/>
      <c r="P26" s="35"/>
      <c r="Q26" s="35"/>
    </row>
    <row r="27" ht="22.5" customHeight="1">
      <c r="A27" s="27"/>
      <c r="B27" s="28"/>
      <c r="C27" s="29"/>
      <c r="D27" s="29"/>
      <c r="E27" s="30"/>
      <c r="F27" s="31"/>
      <c r="G27" s="29"/>
      <c r="H27" s="32"/>
      <c r="I27" s="33"/>
      <c r="J27" s="34"/>
      <c r="K27" s="29"/>
      <c r="L27" s="29"/>
      <c r="M27" s="35"/>
      <c r="N27" s="35"/>
      <c r="O27" s="35"/>
      <c r="P27" s="35"/>
      <c r="Q27" s="35"/>
    </row>
    <row r="28" ht="22.5" customHeight="1">
      <c r="A28" s="27"/>
      <c r="B28" s="28"/>
      <c r="C28" s="29"/>
      <c r="D28" s="29"/>
      <c r="E28" s="30"/>
      <c r="F28" s="31"/>
      <c r="G28" s="29"/>
      <c r="H28" s="32"/>
      <c r="I28" s="33"/>
      <c r="J28" s="34"/>
      <c r="K28" s="29"/>
      <c r="L28" s="29"/>
      <c r="M28" s="35"/>
      <c r="N28" s="35"/>
      <c r="O28" s="35"/>
      <c r="P28" s="35"/>
      <c r="Q28" s="35"/>
    </row>
    <row r="29" ht="22.5" customHeight="1">
      <c r="A29" s="27"/>
      <c r="B29" s="28"/>
      <c r="C29" s="29"/>
      <c r="D29" s="29"/>
      <c r="E29" s="30"/>
      <c r="F29" s="31"/>
      <c r="G29" s="29"/>
      <c r="H29" s="32"/>
      <c r="I29" s="33"/>
      <c r="J29" s="34"/>
      <c r="K29" s="29"/>
      <c r="L29" s="29"/>
      <c r="M29" s="35"/>
      <c r="N29" s="35"/>
      <c r="O29" s="35"/>
      <c r="P29" s="35"/>
      <c r="Q29" s="35"/>
    </row>
    <row r="30" ht="22.5" customHeight="1">
      <c r="A30" s="27"/>
      <c r="B30" s="28"/>
      <c r="C30" s="29"/>
      <c r="D30" s="29"/>
      <c r="E30" s="30"/>
      <c r="F30" s="31"/>
      <c r="G30" s="29"/>
      <c r="H30" s="32"/>
      <c r="I30" s="33"/>
      <c r="J30" s="34"/>
      <c r="K30" s="29"/>
      <c r="L30" s="29"/>
      <c r="M30" s="35"/>
      <c r="N30" s="35"/>
      <c r="O30" s="35"/>
      <c r="P30" s="35"/>
      <c r="Q30" s="35"/>
    </row>
    <row r="31" ht="22.5" customHeight="1">
      <c r="A31" s="36"/>
      <c r="B31" s="37"/>
      <c r="C31" s="38"/>
      <c r="D31" s="38"/>
      <c r="E31" s="39"/>
      <c r="F31" s="40"/>
      <c r="G31" s="38"/>
      <c r="H31" s="41"/>
      <c r="I31" s="42"/>
      <c r="J31" s="43"/>
      <c r="K31" s="38"/>
      <c r="L31" s="38"/>
      <c r="M31" s="35"/>
      <c r="N31" s="35"/>
      <c r="O31" s="35"/>
      <c r="P31" s="35"/>
      <c r="Q31" s="35"/>
    </row>
    <row r="32" ht="22.5" customHeight="1">
      <c r="A32" s="36"/>
      <c r="B32" s="37"/>
      <c r="C32" s="38"/>
      <c r="D32" s="38"/>
      <c r="E32" s="39"/>
      <c r="F32" s="40"/>
      <c r="G32" s="38"/>
      <c r="H32" s="44"/>
      <c r="I32" s="42"/>
      <c r="J32" s="43"/>
      <c r="K32" s="38"/>
      <c r="L32" s="38"/>
      <c r="M32" s="35"/>
      <c r="N32" s="35"/>
      <c r="O32" s="35"/>
      <c r="P32" s="35"/>
      <c r="Q32" s="35"/>
    </row>
    <row r="33" ht="22.5" customHeight="1">
      <c r="A33" s="36"/>
      <c r="B33" s="37"/>
      <c r="C33" s="38"/>
      <c r="D33" s="38"/>
      <c r="E33" s="39"/>
      <c r="F33" s="40"/>
      <c r="G33" s="38"/>
      <c r="H33" s="44"/>
      <c r="I33" s="42"/>
      <c r="J33" s="43"/>
      <c r="K33" s="38"/>
      <c r="L33" s="38"/>
      <c r="M33" s="35"/>
      <c r="N33" s="35"/>
      <c r="O33" s="35"/>
      <c r="P33" s="35"/>
      <c r="Q33" s="35"/>
    </row>
    <row r="34" ht="22.5" customHeight="1">
      <c r="A34" s="36"/>
      <c r="B34" s="37"/>
      <c r="C34" s="38"/>
      <c r="D34" s="38"/>
      <c r="E34" s="39"/>
      <c r="F34" s="40"/>
      <c r="G34" s="38"/>
      <c r="H34" s="44"/>
      <c r="I34" s="42"/>
      <c r="J34" s="43"/>
      <c r="K34" s="38"/>
      <c r="L34" s="38"/>
      <c r="M34" s="35"/>
      <c r="N34" s="35"/>
      <c r="O34" s="35"/>
      <c r="P34" s="35"/>
      <c r="Q34" s="35"/>
    </row>
    <row r="35" ht="22.5" customHeight="1">
      <c r="A35" s="36"/>
      <c r="B35" s="37"/>
      <c r="C35" s="38"/>
      <c r="D35" s="38"/>
      <c r="E35" s="39"/>
      <c r="F35" s="40"/>
      <c r="G35" s="38"/>
      <c r="H35" s="44"/>
      <c r="I35" s="42"/>
      <c r="J35" s="43"/>
      <c r="K35" s="38"/>
      <c r="L35" s="38"/>
      <c r="M35" s="35"/>
      <c r="N35" s="35"/>
      <c r="O35" s="35"/>
      <c r="P35" s="35"/>
      <c r="Q35" s="35"/>
    </row>
    <row r="36" ht="22.5" customHeight="1">
      <c r="A36" s="36"/>
      <c r="B36" s="37"/>
      <c r="C36" s="38"/>
      <c r="D36" s="38"/>
      <c r="E36" s="39"/>
      <c r="F36" s="40"/>
      <c r="G36" s="38"/>
      <c r="H36" s="44"/>
      <c r="I36" s="42"/>
      <c r="J36" s="43"/>
      <c r="K36" s="38"/>
      <c r="L36" s="38"/>
      <c r="M36" s="35"/>
      <c r="N36" s="35"/>
      <c r="O36" s="35"/>
      <c r="P36" s="35"/>
      <c r="Q36" s="35"/>
    </row>
    <row r="37" ht="22.5" customHeight="1">
      <c r="A37" s="36"/>
      <c r="B37" s="37"/>
      <c r="C37" s="38"/>
      <c r="D37" s="38"/>
      <c r="E37" s="39"/>
      <c r="F37" s="40"/>
      <c r="G37" s="38"/>
      <c r="H37" s="44"/>
      <c r="I37" s="42"/>
      <c r="J37" s="43"/>
      <c r="K37" s="38"/>
      <c r="L37" s="38"/>
      <c r="M37" s="35"/>
      <c r="N37" s="35"/>
      <c r="O37" s="35"/>
      <c r="P37" s="35"/>
      <c r="Q37" s="35"/>
    </row>
    <row r="38" ht="22.5" customHeight="1">
      <c r="A38" s="36"/>
      <c r="B38" s="37"/>
      <c r="C38" s="38"/>
      <c r="D38" s="38"/>
      <c r="E38" s="39"/>
      <c r="F38" s="40"/>
      <c r="G38" s="38"/>
      <c r="H38" s="44"/>
      <c r="I38" s="42"/>
      <c r="J38" s="43"/>
      <c r="K38" s="38"/>
      <c r="L38" s="38"/>
      <c r="M38" s="35"/>
      <c r="N38" s="35"/>
      <c r="O38" s="35"/>
      <c r="P38" s="35"/>
      <c r="Q38" s="35"/>
    </row>
    <row r="39" ht="22.5" customHeight="1">
      <c r="A39" s="36"/>
      <c r="B39" s="37"/>
      <c r="C39" s="38"/>
      <c r="D39" s="38"/>
      <c r="E39" s="39"/>
      <c r="F39" s="40"/>
      <c r="G39" s="38"/>
      <c r="H39" s="44"/>
      <c r="I39" s="42"/>
      <c r="J39" s="43"/>
      <c r="K39" s="38"/>
      <c r="L39" s="38"/>
      <c r="M39" s="35"/>
      <c r="N39" s="35"/>
      <c r="O39" s="35"/>
      <c r="P39" s="35"/>
      <c r="Q39" s="35"/>
    </row>
  </sheetData>
  <dataValidations>
    <dataValidation type="custom" allowBlank="1" showDropDown="1" sqref="E2:E39">
      <formula1>OR(NOT(ISERROR(DATEVALUE(E2))), AND(ISNUMBER(E2), LEFT(CELL("format", E2))="D"))</formula1>
    </dataValidation>
    <dataValidation type="custom" allowBlank="1" showDropDown="1" sqref="A2:A39 F2:F39 J2:J3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.63"/>
    <col customWidth="1" min="7" max="7" width="17.25"/>
    <col customWidth="1" min="8" max="8" width="19.0"/>
    <col customWidth="1" min="9" max="9" width="17.5"/>
  </cols>
  <sheetData>
    <row r="1">
      <c r="A1" s="1" t="s">
        <v>73</v>
      </c>
      <c r="B1" s="1" t="s">
        <v>17</v>
      </c>
      <c r="C1" s="1" t="s">
        <v>64</v>
      </c>
      <c r="D1" s="1" t="s">
        <v>45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69</v>
      </c>
      <c r="L1" s="1" t="s">
        <v>70</v>
      </c>
      <c r="M1" s="1" t="s">
        <v>96</v>
      </c>
      <c r="N1" s="1" t="s">
        <v>97</v>
      </c>
      <c r="O1" s="1" t="s">
        <v>98</v>
      </c>
    </row>
    <row r="2">
      <c r="A2" s="3">
        <v>1.0</v>
      </c>
      <c r="B2" s="3">
        <v>1.0</v>
      </c>
      <c r="C2" s="2" t="s">
        <v>71</v>
      </c>
      <c r="D2" s="3">
        <v>1.0</v>
      </c>
      <c r="E2" s="1">
        <v>1.0</v>
      </c>
      <c r="F2" s="1" t="s">
        <v>99</v>
      </c>
      <c r="G2" s="1" t="s">
        <v>100</v>
      </c>
      <c r="H2" s="45">
        <v>46113.33541666667</v>
      </c>
      <c r="I2" s="45">
        <v>46116.774305555555</v>
      </c>
      <c r="J2" s="1">
        <v>1.0</v>
      </c>
      <c r="M2" s="1">
        <v>6065.0</v>
      </c>
      <c r="N2" s="1">
        <v>6497.0</v>
      </c>
      <c r="O2" s="3">
        <v>3.0</v>
      </c>
    </row>
    <row r="3">
      <c r="A3" s="3">
        <v>1.0</v>
      </c>
      <c r="B3" s="3">
        <v>1.0</v>
      </c>
      <c r="C3" s="2" t="s">
        <v>71</v>
      </c>
      <c r="D3" s="3">
        <v>2.0</v>
      </c>
      <c r="E3" s="1">
        <v>1.0</v>
      </c>
      <c r="F3" s="1" t="s">
        <v>99</v>
      </c>
      <c r="G3" s="1" t="s">
        <v>100</v>
      </c>
      <c r="H3" s="45">
        <v>46113.33541666667</v>
      </c>
      <c r="I3" s="45">
        <v>46116.774305555555</v>
      </c>
      <c r="J3" s="1">
        <v>1.0</v>
      </c>
      <c r="M3" s="1">
        <v>6065.0</v>
      </c>
      <c r="N3" s="1">
        <v>6497.0</v>
      </c>
      <c r="O3" s="3">
        <v>3.0</v>
      </c>
    </row>
    <row r="4">
      <c r="A4" s="3">
        <v>2.0</v>
      </c>
      <c r="B4" s="3">
        <v>1.0</v>
      </c>
      <c r="C4" s="2" t="s">
        <v>71</v>
      </c>
      <c r="D4" s="3">
        <v>1.0</v>
      </c>
      <c r="E4" s="1">
        <v>3.0</v>
      </c>
      <c r="F4" s="1" t="s">
        <v>101</v>
      </c>
      <c r="G4" s="1" t="s">
        <v>102</v>
      </c>
      <c r="H4" s="46"/>
      <c r="I4" s="46"/>
      <c r="J4" s="1">
        <v>1.0</v>
      </c>
      <c r="M4" s="1">
        <v>432.0</v>
      </c>
      <c r="N4" s="1">
        <v>480.0</v>
      </c>
      <c r="O4" s="3">
        <v>4.0</v>
      </c>
    </row>
    <row r="5">
      <c r="A5" s="3">
        <v>3.0</v>
      </c>
      <c r="B5" s="3">
        <v>1.0</v>
      </c>
      <c r="C5" s="2" t="s">
        <v>71</v>
      </c>
      <c r="D5" s="3">
        <v>1.0</v>
      </c>
      <c r="E5" s="1">
        <v>2.0</v>
      </c>
      <c r="F5" s="1" t="s">
        <v>103</v>
      </c>
      <c r="G5" s="1" t="s">
        <v>104</v>
      </c>
      <c r="H5" s="45">
        <v>46113.625</v>
      </c>
      <c r="I5" s="45">
        <v>46114.5</v>
      </c>
      <c r="J5" s="1">
        <v>1.0</v>
      </c>
      <c r="M5" s="1">
        <v>2457.51</v>
      </c>
      <c r="N5" s="1">
        <v>2857.37</v>
      </c>
      <c r="O5" s="3">
        <v>5.0</v>
      </c>
    </row>
    <row r="6">
      <c r="A6" s="3">
        <v>4.0</v>
      </c>
      <c r="B6" s="3">
        <v>1.0</v>
      </c>
      <c r="C6" s="2" t="s">
        <v>71</v>
      </c>
      <c r="D6" s="3">
        <v>1.0</v>
      </c>
      <c r="E6" s="1">
        <v>2.0</v>
      </c>
      <c r="F6" s="1" t="s">
        <v>105</v>
      </c>
      <c r="G6" s="1" t="s">
        <v>104</v>
      </c>
      <c r="H6" s="45">
        <v>46114.625</v>
      </c>
      <c r="I6" s="45">
        <v>46116.0</v>
      </c>
      <c r="J6" s="1">
        <v>1.0</v>
      </c>
      <c r="M6" s="1">
        <v>11576.29</v>
      </c>
      <c r="N6" s="1">
        <v>13460.8</v>
      </c>
      <c r="O6" s="3">
        <v>5.0</v>
      </c>
    </row>
    <row r="7">
      <c r="A7" s="3">
        <v>5.0</v>
      </c>
      <c r="B7" s="3">
        <v>1.0</v>
      </c>
      <c r="C7" s="2" t="s">
        <v>71</v>
      </c>
      <c r="D7" s="3">
        <v>1.0</v>
      </c>
      <c r="E7" s="1">
        <v>3.0</v>
      </c>
      <c r="F7" s="1" t="s">
        <v>106</v>
      </c>
      <c r="G7" s="1" t="s">
        <v>107</v>
      </c>
      <c r="H7" s="45">
        <v>46116.666666666664</v>
      </c>
      <c r="I7" s="45">
        <v>46116.6875</v>
      </c>
      <c r="J7" s="1">
        <v>1.0</v>
      </c>
      <c r="M7" s="1">
        <v>432.0</v>
      </c>
      <c r="N7" s="1">
        <v>480.0</v>
      </c>
      <c r="O7" s="3">
        <v>4.0</v>
      </c>
    </row>
    <row r="9">
      <c r="A9" s="9"/>
      <c r="B9" s="11"/>
      <c r="C9" s="11"/>
      <c r="D9" s="11"/>
      <c r="E9" s="11"/>
      <c r="F9" s="10"/>
      <c r="G9" s="10"/>
      <c r="H9" s="12"/>
      <c r="I9" s="12"/>
      <c r="J9" s="11"/>
      <c r="K9" s="11"/>
    </row>
    <row r="10">
      <c r="A10" s="9"/>
      <c r="B10" s="11"/>
      <c r="C10" s="11"/>
      <c r="D10" s="11"/>
      <c r="E10" s="11"/>
      <c r="F10" s="10"/>
      <c r="G10" s="10"/>
      <c r="H10" s="12"/>
      <c r="I10" s="12"/>
      <c r="J10" s="11"/>
      <c r="K10" s="11"/>
    </row>
    <row r="11">
      <c r="A11" s="9"/>
      <c r="B11" s="11"/>
      <c r="C11" s="11"/>
      <c r="D11" s="11"/>
      <c r="E11" s="11"/>
      <c r="F11" s="10"/>
      <c r="G11" s="10"/>
      <c r="H11" s="12"/>
      <c r="I11" s="12"/>
      <c r="J11" s="11"/>
      <c r="K11" s="11"/>
    </row>
    <row r="12">
      <c r="A12" s="9"/>
      <c r="B12" s="11"/>
      <c r="C12" s="11"/>
      <c r="D12" s="11"/>
      <c r="E12" s="11"/>
      <c r="F12" s="10"/>
      <c r="G12" s="10"/>
      <c r="H12" s="12"/>
      <c r="I12" s="12"/>
      <c r="J12" s="11"/>
      <c r="K12" s="11"/>
    </row>
    <row r="13">
      <c r="A13" s="9"/>
      <c r="B13" s="11"/>
      <c r="C13" s="11"/>
      <c r="D13" s="11"/>
      <c r="E13" s="11"/>
      <c r="F13" s="10"/>
      <c r="G13" s="10"/>
      <c r="H13" s="12"/>
      <c r="I13" s="12"/>
      <c r="J13" s="11"/>
      <c r="K13" s="11"/>
    </row>
    <row r="14">
      <c r="A14" s="9"/>
      <c r="B14" s="11"/>
      <c r="C14" s="11"/>
      <c r="D14" s="11"/>
      <c r="E14" s="11"/>
      <c r="F14" s="10"/>
      <c r="G14" s="10"/>
      <c r="H14" s="12"/>
      <c r="I14" s="12"/>
      <c r="J14" s="11"/>
      <c r="K14" s="11"/>
    </row>
    <row r="15">
      <c r="A15" s="9"/>
      <c r="B15" s="11"/>
      <c r="C15" s="11"/>
      <c r="D15" s="11"/>
      <c r="E15" s="11"/>
      <c r="F15" s="10"/>
      <c r="G15" s="10"/>
      <c r="H15" s="12"/>
      <c r="I15" s="12"/>
      <c r="J15" s="11"/>
      <c r="K15" s="11"/>
    </row>
    <row r="16">
      <c r="A16" s="9"/>
      <c r="B16" s="11"/>
      <c r="C16" s="11"/>
      <c r="D16" s="11"/>
      <c r="E16" s="11"/>
      <c r="F16" s="10"/>
      <c r="G16" s="10"/>
      <c r="H16" s="12"/>
      <c r="I16" s="12"/>
      <c r="J16" s="11"/>
      <c r="K16" s="11"/>
    </row>
    <row r="17">
      <c r="A17" s="9"/>
      <c r="B17" s="11"/>
      <c r="C17" s="11"/>
      <c r="D17" s="11"/>
      <c r="E17" s="11"/>
      <c r="F17" s="10"/>
      <c r="G17" s="10"/>
      <c r="H17" s="12"/>
      <c r="I17" s="12"/>
      <c r="J17" s="11"/>
      <c r="K17" s="11"/>
    </row>
    <row r="18">
      <c r="A18" s="9"/>
      <c r="B18" s="11"/>
      <c r="C18" s="11"/>
      <c r="D18" s="11"/>
      <c r="E18" s="11"/>
      <c r="F18" s="10"/>
      <c r="G18" s="10"/>
      <c r="H18" s="12"/>
      <c r="I18" s="12"/>
      <c r="J18" s="11"/>
      <c r="K18" s="11"/>
    </row>
    <row r="19">
      <c r="A19" s="9"/>
      <c r="B19" s="11"/>
      <c r="C19" s="11"/>
      <c r="D19" s="11"/>
      <c r="E19" s="11"/>
      <c r="F19" s="10"/>
      <c r="G19" s="10"/>
      <c r="H19" s="12"/>
      <c r="I19" s="12"/>
      <c r="J19" s="11"/>
      <c r="K19" s="11"/>
    </row>
    <row r="20">
      <c r="A20" s="9"/>
      <c r="B20" s="11"/>
      <c r="C20" s="11"/>
      <c r="D20" s="11"/>
      <c r="E20" s="11"/>
      <c r="F20" s="10"/>
      <c r="G20" s="10"/>
      <c r="H20" s="12"/>
      <c r="I20" s="12"/>
      <c r="J20" s="11"/>
      <c r="K20" s="11"/>
    </row>
    <row r="21">
      <c r="A21" s="9"/>
      <c r="B21" s="11"/>
      <c r="C21" s="11"/>
      <c r="D21" s="11"/>
      <c r="E21" s="11"/>
      <c r="F21" s="10"/>
      <c r="G21" s="10"/>
      <c r="H21" s="12"/>
      <c r="I21" s="12"/>
      <c r="J21" s="11"/>
      <c r="K21" s="11"/>
    </row>
    <row r="22">
      <c r="A22" s="9"/>
      <c r="B22" s="11"/>
      <c r="C22" s="11"/>
      <c r="D22" s="11"/>
      <c r="E22" s="11"/>
      <c r="F22" s="10"/>
      <c r="G22" s="10"/>
      <c r="H22" s="12"/>
      <c r="I22" s="12"/>
      <c r="J22" s="11"/>
      <c r="K22" s="11"/>
    </row>
    <row r="23">
      <c r="A23" s="9"/>
      <c r="B23" s="11"/>
      <c r="C23" s="11"/>
      <c r="D23" s="11"/>
      <c r="E23" s="11"/>
      <c r="F23" s="10"/>
      <c r="G23" s="10"/>
      <c r="H23" s="12"/>
      <c r="I23" s="12"/>
      <c r="J23" s="11"/>
      <c r="K23" s="11"/>
    </row>
    <row r="24">
      <c r="A24" s="9"/>
      <c r="B24" s="11"/>
      <c r="C24" s="11"/>
      <c r="D24" s="11"/>
      <c r="E24" s="11"/>
      <c r="F24" s="10"/>
      <c r="G24" s="10"/>
      <c r="H24" s="12"/>
      <c r="I24" s="12"/>
      <c r="J24" s="11"/>
      <c r="K24" s="11"/>
    </row>
    <row r="25">
      <c r="A25" s="9"/>
      <c r="B25" s="11"/>
      <c r="C25" s="11"/>
      <c r="D25" s="11"/>
      <c r="E25" s="11"/>
      <c r="F25" s="10"/>
      <c r="G25" s="10"/>
      <c r="H25" s="12"/>
      <c r="I25" s="12"/>
      <c r="J25" s="11"/>
      <c r="K25" s="11"/>
    </row>
    <row r="26">
      <c r="A26" s="9"/>
      <c r="B26" s="11"/>
      <c r="C26" s="11"/>
      <c r="D26" s="11"/>
      <c r="E26" s="11"/>
      <c r="F26" s="10"/>
      <c r="G26" s="10"/>
      <c r="H26" s="12"/>
      <c r="I26" s="12"/>
      <c r="J26" s="11"/>
      <c r="K26" s="11"/>
    </row>
    <row r="27">
      <c r="A27" s="9"/>
      <c r="B27" s="11"/>
      <c r="C27" s="11"/>
      <c r="D27" s="11"/>
      <c r="E27" s="11"/>
      <c r="F27" s="10"/>
      <c r="G27" s="10"/>
      <c r="H27" s="12"/>
      <c r="I27" s="12"/>
      <c r="J27" s="11"/>
      <c r="K27" s="11"/>
    </row>
    <row r="28">
      <c r="A28" s="9"/>
      <c r="B28" s="11"/>
      <c r="C28" s="11"/>
      <c r="D28" s="11"/>
      <c r="E28" s="11"/>
      <c r="F28" s="10"/>
      <c r="G28" s="10"/>
      <c r="H28" s="12"/>
      <c r="I28" s="12"/>
      <c r="J28" s="11"/>
      <c r="K28" s="11"/>
    </row>
    <row r="29">
      <c r="F29" s="10"/>
      <c r="G29" s="10"/>
      <c r="H29" s="46"/>
      <c r="I29" s="46"/>
    </row>
    <row r="30">
      <c r="H30" s="45"/>
      <c r="I30" s="45"/>
    </row>
    <row r="31">
      <c r="H31" s="45"/>
      <c r="I31" s="45"/>
    </row>
    <row r="32">
      <c r="H32" s="45"/>
      <c r="I32" s="45"/>
    </row>
    <row r="33">
      <c r="H33" s="45"/>
      <c r="I33" s="45"/>
    </row>
    <row r="34">
      <c r="H34" s="45"/>
      <c r="I34" s="45"/>
    </row>
    <row r="35">
      <c r="H35" s="45"/>
      <c r="I35" s="4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6" max="6" width="15.38"/>
    <col customWidth="1" min="7" max="7" width="22.25"/>
    <col customWidth="1" min="8" max="8" width="15.25"/>
  </cols>
  <sheetData>
    <row r="1">
      <c r="A1" s="1" t="s">
        <v>98</v>
      </c>
      <c r="B1" s="1" t="s">
        <v>18</v>
      </c>
      <c r="C1" s="1" t="s">
        <v>19</v>
      </c>
      <c r="D1" s="1" t="s">
        <v>21</v>
      </c>
      <c r="E1" s="1" t="s">
        <v>22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5</v>
      </c>
      <c r="O1" s="1" t="s">
        <v>33</v>
      </c>
    </row>
    <row r="2">
      <c r="A2" s="1">
        <v>1.0</v>
      </c>
      <c r="B2" s="1" t="s">
        <v>108</v>
      </c>
      <c r="C2" s="1" t="s">
        <v>109</v>
      </c>
      <c r="D2" s="1" t="s">
        <v>110</v>
      </c>
      <c r="F2" s="1" t="s">
        <v>111</v>
      </c>
      <c r="G2" s="1" t="s">
        <v>112</v>
      </c>
      <c r="H2" s="1" t="s">
        <v>113</v>
      </c>
      <c r="I2" s="1">
        <v>445.0</v>
      </c>
      <c r="J2" s="1">
        <v>5.0</v>
      </c>
      <c r="K2" s="1">
        <v>11000.0</v>
      </c>
      <c r="L2" s="1">
        <v>52.0</v>
      </c>
      <c r="M2" s="1">
        <v>5.5534284E9</v>
      </c>
    </row>
    <row r="3">
      <c r="A3" s="1">
        <v>2.0</v>
      </c>
      <c r="B3" s="1" t="s">
        <v>114</v>
      </c>
      <c r="L3" s="1">
        <v>52.0</v>
      </c>
      <c r="O3" s="1" t="s">
        <v>115</v>
      </c>
    </row>
    <row r="4">
      <c r="A4" s="3">
        <v>3.0</v>
      </c>
      <c r="B4" s="1" t="s">
        <v>116</v>
      </c>
      <c r="C4" s="1" t="s">
        <v>117</v>
      </c>
      <c r="L4" s="1">
        <v>52.0</v>
      </c>
      <c r="O4" s="1" t="s">
        <v>115</v>
      </c>
    </row>
    <row r="5">
      <c r="A5" s="3">
        <v>4.0</v>
      </c>
      <c r="B5" s="1" t="s">
        <v>118</v>
      </c>
      <c r="L5" s="1">
        <v>52.0</v>
      </c>
      <c r="O5" s="1" t="s">
        <v>115</v>
      </c>
    </row>
    <row r="6">
      <c r="A6" s="3">
        <v>5.0</v>
      </c>
      <c r="B6" s="1" t="s">
        <v>119</v>
      </c>
      <c r="C6" s="1" t="s">
        <v>120</v>
      </c>
      <c r="L6" s="1">
        <v>52.0</v>
      </c>
      <c r="O6" s="1" t="s">
        <v>115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121</v>
      </c>
    </row>
    <row r="2">
      <c r="A2" s="47">
        <f>IFERROR(__xludf.DUMMYFUNCTION("UNIQUE(FILTER(Transacciones[ID Cliente],Transacciones[Tipo de Transacción]=Listas!$H$5))"),1.0)</f>
        <v>1</v>
      </c>
      <c r="B2" s="48">
        <f>IF(A2="","", SUMIFS(Transacciones[Monto], Transacciones[ID Cliente], 'Saldo a Favor'!$A2, Transacciones[Tipo de Transacción], Listas!$H$5) - SUMIFS(Transacciones[Monto], Transacciones[ID Cliente], 'Saldo a Favor'!$A2, Transacciones[Tipo de Transacción], Listas!$H$3, Transacciones[Forma de Pago], Listas!$K$6))</f>
        <v>6</v>
      </c>
    </row>
    <row r="3">
      <c r="B3" s="48" t="str">
        <f>IF(A3="","", SUMIFS(Transacciones[Monto], Transacciones[ID Cliente], 'Saldo a Favor'!$A3, Transacciones[Tipo de Transacción], Listas!$H$5) - SUMIFS(Transacciones[Monto], Transacciones[ID Cliente], 'Saldo a Favor'!$A3, Transacciones[Tipo de Transacción], Listas!$H$3, Transacciones[Forma de Pago], Listas!$K$6))</f>
        <v/>
      </c>
    </row>
    <row r="4">
      <c r="B4" s="48" t="str">
        <f>IF(A4="","", SUMIFS(Transacciones[Monto], Transacciones[ID Cliente], 'Saldo a Favor'!$A4, Transacciones[Tipo de Transacción], Listas!$H$5) - SUMIFS(Transacciones[Monto], Transacciones[ID Cliente], 'Saldo a Favor'!$A4, Transacciones[Tipo de Transacción], Listas!$H$3, Transacciones[Forma de Pago], Listas!$K$6))</f>
        <v/>
      </c>
    </row>
    <row r="5">
      <c r="B5" s="48" t="str">
        <f>IF(A5="","", SUMIFS(Transacciones[Monto], Transacciones[ID Cliente], 'Saldo a Favor'!$A5, Transacciones[Tipo de Transacción], Listas!$H$5) - SUMIFS(Transacciones[Monto], Transacciones[ID Cliente], 'Saldo a Favor'!$A5, Transacciones[Tipo de Transacción], Listas!$H$3, Transacciones[Forma de Pago], Listas!$K$6))</f>
        <v/>
      </c>
    </row>
    <row r="6">
      <c r="B6" s="48" t="str">
        <f>IF(A6="","", SUMIFS(Transacciones[Monto], Transacciones[ID Cliente], 'Saldo a Favor'!$A6, Transacciones[Tipo de Transacción], Listas!$H$5) - SUMIFS(Transacciones[Monto], Transacciones[ID Cliente], 'Saldo a Favor'!$A6, Transacciones[Tipo de Transacción], Listas!$H$3, Transacciones[Forma de Pago], Listas!$K$6))</f>
        <v/>
      </c>
    </row>
    <row r="7">
      <c r="B7" s="48" t="str">
        <f>IF(A7="","", SUMIFS(Transacciones[Monto], Transacciones[ID Cliente], 'Saldo a Favor'!$A7, Transacciones[Tipo de Transacción], Listas!$H$5) - SUMIFS(Transacciones[Monto], Transacciones[ID Cliente], 'Saldo a Favor'!$A7, Transacciones[Tipo de Transacción], Listas!$H$3, Transacciones[Forma de Pago], Listas!$K$6))</f>
        <v/>
      </c>
    </row>
    <row r="8">
      <c r="B8" s="48" t="str">
        <f>IF(A8="","", SUMIFS(Transacciones[Monto], Transacciones[ID Cliente], 'Saldo a Favor'!$A8, Transacciones[Tipo de Transacción], Listas!$H$5) - SUMIFS(Transacciones[Monto], Transacciones[ID Cliente], 'Saldo a Favor'!$A8, Transacciones[Tipo de Transacción], Listas!$H$3, Transacciones[Forma de Pago], Listas!$K$6))</f>
        <v/>
      </c>
    </row>
    <row r="9">
      <c r="B9" s="48" t="str">
        <f>IF(A9="","", SUMIFS(Transacciones[Monto], Transacciones[ID Cliente], 'Saldo a Favor'!$A9, Transacciones[Tipo de Transacción], Listas!$H$5) - SUMIFS(Transacciones[Monto], Transacciones[ID Cliente], 'Saldo a Favor'!$A9, Transacciones[Tipo de Transacción], Listas!$H$3, Transacciones[Forma de Pago], Listas!$K$6))</f>
        <v/>
      </c>
    </row>
    <row r="10">
      <c r="B10" s="48" t="str">
        <f>IF(A10="","", SUMIFS(Transacciones[Monto], Transacciones[ID Cliente], 'Saldo a Favor'!$A10, Transacciones[Tipo de Transacción], Listas!$H$5) - SUMIFS(Transacciones[Monto], Transacciones[ID Cliente], 'Saldo a Favor'!$A10, Transacciones[Tipo de Transacción], Listas!$H$3, Transacciones[Forma de Pago], Listas!$K$6))</f>
        <v/>
      </c>
    </row>
    <row r="11">
      <c r="B11" s="48" t="str">
        <f>IF(A11="","", SUMIFS(Transacciones[Monto], Transacciones[ID Cliente], 'Saldo a Favor'!$A11, Transacciones[Tipo de Transacción], Listas!$H$5) - SUMIFS(Transacciones[Monto], Transacciones[ID Cliente], 'Saldo a Favor'!$A11, Transacciones[Tipo de Transacción], Listas!$H$3, Transacciones[Forma de Pago], Listas!$K$6))</f>
        <v/>
      </c>
    </row>
    <row r="12">
      <c r="B12" s="48" t="str">
        <f>IF(A12="","", SUMIFS(Transacciones[Monto], Transacciones[ID Cliente], 'Saldo a Favor'!$A12, Transacciones[Tipo de Transacción], Listas!$H$5) - SUMIFS(Transacciones[Monto], Transacciones[ID Cliente], 'Saldo a Favor'!$A12, Transacciones[Tipo de Transacción], Listas!$H$3, Transacciones[Forma de Pago], Listas!$K$6))</f>
        <v/>
      </c>
    </row>
    <row r="13">
      <c r="B13" s="48" t="str">
        <f>IF(A13="","", SUMIFS(Transacciones[Monto], Transacciones[ID Cliente], 'Saldo a Favor'!$A13, Transacciones[Tipo de Transacción], Listas!$H$5) - SUMIFS(Transacciones[Monto], Transacciones[ID Cliente], 'Saldo a Favor'!$A13, Transacciones[Tipo de Transacción], Listas!$H$3, Transacciones[Forma de Pago], Listas!$K$6))</f>
        <v/>
      </c>
    </row>
    <row r="14">
      <c r="B14" s="48" t="str">
        <f>IF(A14="","", SUMIFS(Transacciones[Monto], Transacciones[ID Cliente], 'Saldo a Favor'!$A14, Transacciones[Tipo de Transacción], Listas!$H$5) - SUMIFS(Transacciones[Monto], Transacciones[ID Cliente], 'Saldo a Favor'!$A14, Transacciones[Tipo de Transacción], Listas!$H$3, Transacciones[Forma de Pago], Listas!$K$6))</f>
        <v/>
      </c>
    </row>
    <row r="15">
      <c r="B15" s="48" t="str">
        <f>IF(A15="","", SUMIFS(Transacciones[Monto], Transacciones[ID Cliente], 'Saldo a Favor'!$A15, Transacciones[Tipo de Transacción], Listas!$H$5) - SUMIFS(Transacciones[Monto], Transacciones[ID Cliente], 'Saldo a Favor'!$A15, Transacciones[Tipo de Transacción], Listas!$H$3, Transacciones[Forma de Pago], Listas!$K$6))</f>
        <v/>
      </c>
    </row>
    <row r="16">
      <c r="B16" s="48" t="str">
        <f>IF(A16="","", SUMIFS(Transacciones[Monto], Transacciones[ID Cliente], 'Saldo a Favor'!$A16, Transacciones[Tipo de Transacción], Listas!$H$5) - SUMIFS(Transacciones[Monto], Transacciones[ID Cliente], 'Saldo a Favor'!$A16, Transacciones[Tipo de Transacción], Listas!$H$3, Transacciones[Forma de Pago], Listas!$K$6))</f>
        <v/>
      </c>
    </row>
    <row r="17">
      <c r="B17" s="48" t="str">
        <f>IF(A17="","", SUMIFS(Transacciones[Monto], Transacciones[ID Cliente], 'Saldo a Favor'!$A17, Transacciones[Tipo de Transacción], Listas!$H$5) - SUMIFS(Transacciones[Monto], Transacciones[ID Cliente], 'Saldo a Favor'!$A17, Transacciones[Tipo de Transacción], Listas!$H$3, Transacciones[Forma de Pago], Listas!$K$6))</f>
        <v/>
      </c>
    </row>
    <row r="18">
      <c r="B18" s="48" t="str">
        <f>IF(A18="","", SUMIFS(Transacciones[Monto], Transacciones[ID Cliente], 'Saldo a Favor'!$A18, Transacciones[Tipo de Transacción], Listas!$H$5) - SUMIFS(Transacciones[Monto], Transacciones[ID Cliente], 'Saldo a Favor'!$A18, Transacciones[Tipo de Transacción], Listas!$H$3, Transacciones[Forma de Pago], Listas!$K$6))</f>
        <v/>
      </c>
    </row>
    <row r="19">
      <c r="B19" s="48" t="str">
        <f>IF(A19="","", SUMIFS(Transacciones[Monto], Transacciones[ID Cliente], 'Saldo a Favor'!$A19, Transacciones[Tipo de Transacción], Listas!$H$5) - SUMIFS(Transacciones[Monto], Transacciones[ID Cliente], 'Saldo a Favor'!$A19, Transacciones[Tipo de Transacción], Listas!$H$3, Transacciones[Forma de Pago], Listas!$K$6))</f>
        <v/>
      </c>
    </row>
    <row r="20">
      <c r="B20" s="48" t="str">
        <f>IF(A20="","", SUMIFS(Transacciones[Monto], Transacciones[ID Cliente], 'Saldo a Favor'!$A20, Transacciones[Tipo de Transacción], Listas!$H$5) - SUMIFS(Transacciones[Monto], Transacciones[ID Cliente], 'Saldo a Favor'!$A20, Transacciones[Tipo de Transacción], Listas!$H$3, Transacciones[Forma de Pago], Listas!$K$6))</f>
        <v/>
      </c>
    </row>
    <row r="21">
      <c r="B21" s="48" t="str">
        <f>IF(A21="","", SUMIFS(Transacciones[Monto], Transacciones[ID Cliente], 'Saldo a Favor'!$A21, Transacciones[Tipo de Transacción], Listas!$H$5) - SUMIFS(Transacciones[Monto], Transacciones[ID Cliente], 'Saldo a Favor'!$A21, Transacciones[Tipo de Transacción], Listas!$H$3, Transacciones[Forma de Pago], Listas!$K$6))</f>
        <v/>
      </c>
    </row>
    <row r="22">
      <c r="B22" s="48" t="str">
        <f>IF(A22="","", SUMIFS(Transacciones[Monto], Transacciones[ID Cliente], 'Saldo a Favor'!$A22, Transacciones[Tipo de Transacción], Listas!$H$5) - SUMIFS(Transacciones[Monto], Transacciones[ID Cliente], 'Saldo a Favor'!$A22, Transacciones[Tipo de Transacción], Listas!$H$3, Transacciones[Forma de Pago], Listas!$K$6))</f>
        <v/>
      </c>
    </row>
    <row r="23">
      <c r="B23" s="48" t="str">
        <f>IF(A23="","", SUMIFS(Transacciones[Monto], Transacciones[ID Cliente], 'Saldo a Favor'!$A23, Transacciones[Tipo de Transacción], Listas!$H$5) - SUMIFS(Transacciones[Monto], Transacciones[ID Cliente], 'Saldo a Favor'!$A23, Transacciones[Tipo de Transacción], Listas!$H$3, Transacciones[Forma de Pago], Listas!$K$6))</f>
        <v/>
      </c>
    </row>
    <row r="24">
      <c r="B24" s="48" t="str">
        <f>IF(A24="","", SUMIFS(Transacciones[Monto], Transacciones[ID Cliente], 'Saldo a Favor'!$A24, Transacciones[Tipo de Transacción], Listas!$H$5) - SUMIFS(Transacciones[Monto], Transacciones[ID Cliente], 'Saldo a Favor'!$A24, Transacciones[Tipo de Transacción], Listas!$H$3, Transacciones[Forma de Pago], Listas!$K$6))</f>
        <v/>
      </c>
    </row>
    <row r="25">
      <c r="B25" s="48" t="str">
        <f>IF(A25="","", SUMIFS(Transacciones[Monto], Transacciones[ID Cliente], 'Saldo a Favor'!$A25, Transacciones[Tipo de Transacción], Listas!$H$5) - SUMIFS(Transacciones[Monto], Transacciones[ID Cliente], 'Saldo a Favor'!$A25, Transacciones[Tipo de Transacción], Listas!$H$3, Transacciones[Forma de Pago], Listas!$K$6))</f>
        <v/>
      </c>
    </row>
    <row r="26">
      <c r="B26" s="48" t="str">
        <f>IF(A26="","", SUMIFS(Transacciones[Monto], Transacciones[ID Cliente], 'Saldo a Favor'!$A26, Transacciones[Tipo de Transacción], Listas!$H$5) - SUMIFS(Transacciones[Monto], Transacciones[ID Cliente], 'Saldo a Favor'!$A26, Transacciones[Tipo de Transacción], Listas!$H$3, Transacciones[Forma de Pago], Listas!$K$6))</f>
        <v/>
      </c>
    </row>
    <row r="27">
      <c r="B27" s="48" t="str">
        <f>IF(A27="","", SUMIFS(Transacciones[Monto], Transacciones[ID Cliente], 'Saldo a Favor'!$A27, Transacciones[Tipo de Transacción], Listas!$H$5) - SUMIFS(Transacciones[Monto], Transacciones[ID Cliente], 'Saldo a Favor'!$A27, Transacciones[Tipo de Transacción], Listas!$H$3, Transacciones[Forma de Pago], Listas!$K$6))</f>
        <v/>
      </c>
    </row>
    <row r="28">
      <c r="B28" s="48" t="str">
        <f>IF(A28="","", SUMIFS(Transacciones[Monto], Transacciones[ID Cliente], 'Saldo a Favor'!$A28, Transacciones[Tipo de Transacción], Listas!$H$5) - SUMIFS(Transacciones[Monto], Transacciones[ID Cliente], 'Saldo a Favor'!$A28, Transacciones[Tipo de Transacción], Listas!$H$3, Transacciones[Forma de Pago], Listas!$K$6))</f>
        <v/>
      </c>
    </row>
    <row r="29">
      <c r="B29" s="48" t="str">
        <f>IF(A29="","", SUMIFS(Transacciones[Monto], Transacciones[ID Cliente], 'Saldo a Favor'!$A29, Transacciones[Tipo de Transacción], Listas!$H$5) - SUMIFS(Transacciones[Monto], Transacciones[ID Cliente], 'Saldo a Favor'!$A29, Transacciones[Tipo de Transacción], Listas!$H$3, Transacciones[Forma de Pago], Listas!$K$6))</f>
        <v/>
      </c>
    </row>
    <row r="30">
      <c r="B30" s="48" t="str">
        <f>IF(A30="","", SUMIFS(Transacciones[Monto], Transacciones[ID Cliente], 'Saldo a Favor'!$A30, Transacciones[Tipo de Transacción], Listas!$H$5) - SUMIFS(Transacciones[Monto], Transacciones[ID Cliente], 'Saldo a Favor'!$A30, Transacciones[Tipo de Transacción], Listas!$H$3, Transacciones[Forma de Pago], Listas!$K$6))</f>
        <v/>
      </c>
    </row>
    <row r="31">
      <c r="B31" s="48" t="str">
        <f>IF(A31="","", SUMIFS(Transacciones[Monto], Transacciones[ID Cliente], 'Saldo a Favor'!$A31, Transacciones[Tipo de Transacción], Listas!$H$5) - SUMIFS(Transacciones[Monto], Transacciones[ID Cliente], 'Saldo a Favor'!$A31, Transacciones[Tipo de Transacción], Listas!$H$3, Transacciones[Forma de Pago], Listas!$K$6))</f>
        <v/>
      </c>
    </row>
    <row r="32">
      <c r="B32" s="48" t="str">
        <f>IF(A32="","", SUMIFS(Transacciones[Monto], Transacciones[ID Cliente], 'Saldo a Favor'!$A32, Transacciones[Tipo de Transacción], Listas!$H$5) - SUMIFS(Transacciones[Monto], Transacciones[ID Cliente], 'Saldo a Favor'!$A32, Transacciones[Tipo de Transacción], Listas!$H$3, Transacciones[Forma de Pago], Listas!$K$6))</f>
        <v/>
      </c>
    </row>
    <row r="33">
      <c r="B33" s="48" t="str">
        <f>IF(A33="","", SUMIFS(Transacciones[Monto], Transacciones[ID Cliente], 'Saldo a Favor'!$A33, Transacciones[Tipo de Transacción], Listas!$H$5) - SUMIFS(Transacciones[Monto], Transacciones[ID Cliente], 'Saldo a Favor'!$A33, Transacciones[Tipo de Transacción], Listas!$H$3, Transacciones[Forma de Pago], Listas!$K$6))</f>
        <v/>
      </c>
    </row>
    <row r="34">
      <c r="B34" s="48" t="str">
        <f>IF(A34="","", SUMIFS(Transacciones[Monto], Transacciones[ID Cliente], 'Saldo a Favor'!$A34, Transacciones[Tipo de Transacción], Listas!$H$5) - SUMIFS(Transacciones[Monto], Transacciones[ID Cliente], 'Saldo a Favor'!$A34, Transacciones[Tipo de Transacción], Listas!$H$3, Transacciones[Forma de Pago], Listas!$K$6))</f>
        <v/>
      </c>
    </row>
    <row r="35">
      <c r="B35" s="48" t="str">
        <f>IF(A35="","", SUMIFS(Transacciones[Monto], Transacciones[ID Cliente], 'Saldo a Favor'!$A35, Transacciones[Tipo de Transacción], Listas!$H$5) - SUMIFS(Transacciones[Monto], Transacciones[ID Cliente], 'Saldo a Favor'!$A35, Transacciones[Tipo de Transacción], Listas!$H$3, Transacciones[Forma de Pago], Listas!$K$6))</f>
        <v/>
      </c>
    </row>
    <row r="36">
      <c r="B36" s="48" t="str">
        <f>IF(A36="","", SUMIFS(Transacciones[Monto], Transacciones[ID Cliente], 'Saldo a Favor'!$A36, Transacciones[Tipo de Transacción], Listas!$H$5) - SUMIFS(Transacciones[Monto], Transacciones[ID Cliente], 'Saldo a Favor'!$A36, Transacciones[Tipo de Transacción], Listas!$H$3, Transacciones[Forma de Pago], Listas!$K$6))</f>
        <v/>
      </c>
    </row>
    <row r="37">
      <c r="B37" s="48" t="str">
        <f>IF(A37="","", SUMIFS(Transacciones[Monto], Transacciones[ID Cliente], 'Saldo a Favor'!$A37, Transacciones[Tipo de Transacción], Listas!$H$5) - SUMIFS(Transacciones[Monto], Transacciones[ID Cliente], 'Saldo a Favor'!$A37, Transacciones[Tipo de Transacción], Listas!$H$3, Transacciones[Forma de Pago], Listas!$K$6))</f>
        <v/>
      </c>
    </row>
    <row r="38">
      <c r="B38" s="48" t="str">
        <f>IF(A38="","", SUMIFS(Transacciones[Monto], Transacciones[ID Cliente], 'Saldo a Favor'!$A38, Transacciones[Tipo de Transacción], Listas!$H$5) - SUMIFS(Transacciones[Monto], Transacciones[ID Cliente], 'Saldo a Favor'!$A38, Transacciones[Tipo de Transacción], Listas!$H$3, Transacciones[Forma de Pago], Listas!$K$6))</f>
        <v/>
      </c>
    </row>
    <row r="39">
      <c r="B39" s="48" t="str">
        <f>IF(A39="","", SUMIFS(Transacciones[Monto], Transacciones[ID Cliente], 'Saldo a Favor'!$A39, Transacciones[Tipo de Transacción], Listas!$H$5) - SUMIFS(Transacciones[Monto], Transacciones[ID Cliente], 'Saldo a Favor'!$A39, Transacciones[Tipo de Transacción], Listas!$H$3, Transacciones[Forma de Pago], Listas!$K$6))</f>
        <v/>
      </c>
    </row>
    <row r="40">
      <c r="B40" s="48" t="str">
        <f>IF(A40="","", SUMIFS(Transacciones[Monto], Transacciones[ID Cliente], 'Saldo a Favor'!$A40, Transacciones[Tipo de Transacción], Listas!$H$5) - SUMIFS(Transacciones[Monto], Transacciones[ID Cliente], 'Saldo a Favor'!$A40, Transacciones[Tipo de Transacción], Listas!$H$3, Transacciones[Forma de Pago], Listas!$K$6))</f>
        <v/>
      </c>
    </row>
    <row r="41">
      <c r="B41" s="48" t="str">
        <f>IF(A41="","", SUMIFS(Transacciones[Monto], Transacciones[ID Cliente], 'Saldo a Favor'!$A41, Transacciones[Tipo de Transacción], Listas!$H$5) - SUMIFS(Transacciones[Monto], Transacciones[ID Cliente], 'Saldo a Favor'!$A41, Transacciones[Tipo de Transacción], Listas!$H$3, Transacciones[Forma de Pago], Listas!$K$6))</f>
        <v/>
      </c>
    </row>
    <row r="42">
      <c r="B42" s="48" t="str">
        <f>IF(A42="","", SUMIFS(Transacciones[Monto], Transacciones[ID Cliente], 'Saldo a Favor'!$A42, Transacciones[Tipo de Transacción], Listas!$H$5) - SUMIFS(Transacciones[Monto], Transacciones[ID Cliente], 'Saldo a Favor'!$A42, Transacciones[Tipo de Transacción], Listas!$H$3, Transacciones[Forma de Pago], Listas!$K$6))</f>
        <v/>
      </c>
    </row>
    <row r="43">
      <c r="B43" s="48" t="str">
        <f>IF(A43="","", SUMIFS(Transacciones[Monto], Transacciones[ID Cliente], 'Saldo a Favor'!$A43, Transacciones[Tipo de Transacción], Listas!$H$5) - SUMIFS(Transacciones[Monto], Transacciones[ID Cliente], 'Saldo a Favor'!$A43, Transacciones[Tipo de Transacción], Listas!$H$3, Transacciones[Forma de Pago], Listas!$K$6))</f>
        <v/>
      </c>
    </row>
    <row r="44">
      <c r="B44" s="48" t="str">
        <f>IF(A44="","", SUMIFS(Transacciones[Monto], Transacciones[ID Cliente], 'Saldo a Favor'!$A44, Transacciones[Tipo de Transacción], Listas!$H$5) - SUMIFS(Transacciones[Monto], Transacciones[ID Cliente], 'Saldo a Favor'!$A44, Transacciones[Tipo de Transacción], Listas!$H$3, Transacciones[Forma de Pago], Listas!$K$6))</f>
        <v/>
      </c>
    </row>
    <row r="45">
      <c r="B45" s="48" t="str">
        <f>IF(A45="","", SUMIFS(Transacciones[Monto], Transacciones[ID Cliente], 'Saldo a Favor'!$A45, Transacciones[Tipo de Transacción], Listas!$H$5) - SUMIFS(Transacciones[Monto], Transacciones[ID Cliente], 'Saldo a Favor'!$A45, Transacciones[Tipo de Transacción], Listas!$H$3, Transacciones[Forma de Pago], Listas!$K$6))</f>
        <v/>
      </c>
    </row>
    <row r="46">
      <c r="B46" s="48" t="str">
        <f>IF(A46="","", SUMIFS(Transacciones[Monto], Transacciones[ID Cliente], 'Saldo a Favor'!$A46, Transacciones[Tipo de Transacción], Listas!$H$5) - SUMIFS(Transacciones[Monto], Transacciones[ID Cliente], 'Saldo a Favor'!$A46, Transacciones[Tipo de Transacción], Listas!$H$3, Transacciones[Forma de Pago], Listas!$K$6))</f>
        <v/>
      </c>
    </row>
    <row r="47">
      <c r="B47" s="48" t="str">
        <f>IF(A47="","", SUMIFS(Transacciones[Monto], Transacciones[ID Cliente], 'Saldo a Favor'!$A47, Transacciones[Tipo de Transacción], Listas!$H$5) - SUMIFS(Transacciones[Monto], Transacciones[ID Cliente], 'Saldo a Favor'!$A47, Transacciones[Tipo de Transacción], Listas!$H$3, Transacciones[Forma de Pago], Listas!$K$6))</f>
        <v/>
      </c>
    </row>
    <row r="48">
      <c r="B48" s="48" t="str">
        <f>IF(A48="","", SUMIFS(Transacciones[Monto], Transacciones[ID Cliente], 'Saldo a Favor'!$A48, Transacciones[Tipo de Transacción], Listas!$H$5) - SUMIFS(Transacciones[Monto], Transacciones[ID Cliente], 'Saldo a Favor'!$A48, Transacciones[Tipo de Transacción], Listas!$H$3, Transacciones[Forma de Pago], Listas!$K$6))</f>
        <v/>
      </c>
    </row>
    <row r="49">
      <c r="B49" s="48" t="str">
        <f>IF(A49="","", SUMIFS(Transacciones[Monto], Transacciones[ID Cliente], 'Saldo a Favor'!$A49, Transacciones[Tipo de Transacción], Listas!$H$5) - SUMIFS(Transacciones[Monto], Transacciones[ID Cliente], 'Saldo a Favor'!$A49, Transacciones[Tipo de Transacción], Listas!$H$3, Transacciones[Forma de Pago], Listas!$K$6))</f>
        <v/>
      </c>
    </row>
    <row r="50">
      <c r="B50" s="48" t="str">
        <f>IF(A50="","", SUMIFS(Transacciones[Monto], Transacciones[ID Cliente], 'Saldo a Favor'!$A50, Transacciones[Tipo de Transacción], Listas!$H$5) - SUMIFS(Transacciones[Monto], Transacciones[ID Cliente], 'Saldo a Favor'!$A50, Transacciones[Tipo de Transacción], Listas!$H$3, Transacciones[Forma de Pago], Listas!$K$6))</f>
        <v/>
      </c>
    </row>
    <row r="51">
      <c r="B51" s="48" t="str">
        <f>IF(A51="","", SUMIFS(Transacciones[Monto], Transacciones[ID Cliente], 'Saldo a Favor'!$A51, Transacciones[Tipo de Transacción], Listas!$H$5) - SUMIFS(Transacciones[Monto], Transacciones[ID Cliente], 'Saldo a Favor'!$A51, Transacciones[Tipo de Transacción], Listas!$H$3, Transacciones[Forma de Pago], Listas!$K$6))</f>
        <v/>
      </c>
    </row>
    <row r="52">
      <c r="B52" s="48" t="str">
        <f>IF(A52="","", SUMIFS(Transacciones[Monto], Transacciones[ID Cliente], 'Saldo a Favor'!$A52, Transacciones[Tipo de Transacción], Listas!$H$5) - SUMIFS(Transacciones[Monto], Transacciones[ID Cliente], 'Saldo a Favor'!$A52, Transacciones[Tipo de Transacción], Listas!$H$3, Transacciones[Forma de Pago], Listas!$K$6))</f>
        <v/>
      </c>
    </row>
    <row r="53">
      <c r="B53" s="48" t="str">
        <f>IF(A53="","", SUMIFS(Transacciones[Monto], Transacciones[ID Cliente], 'Saldo a Favor'!$A53, Transacciones[Tipo de Transacción], Listas!$H$5) - SUMIFS(Transacciones[Monto], Transacciones[ID Cliente], 'Saldo a Favor'!$A53, Transacciones[Tipo de Transacción], Listas!$H$3, Transacciones[Forma de Pago], Listas!$K$6))</f>
        <v/>
      </c>
    </row>
    <row r="54">
      <c r="B54" s="48" t="str">
        <f>IF(A54="","", SUMIFS(Transacciones[Monto], Transacciones[ID Cliente], 'Saldo a Favor'!$A54, Transacciones[Tipo de Transacción], Listas!$H$5) - SUMIFS(Transacciones[Monto], Transacciones[ID Cliente], 'Saldo a Favor'!$A54, Transacciones[Tipo de Transacción], Listas!$H$3, Transacciones[Forma de Pago], Listas!$K$6))</f>
        <v/>
      </c>
    </row>
    <row r="55">
      <c r="B55" s="48" t="str">
        <f>IF(A55="","", SUMIFS(Transacciones[Monto], Transacciones[ID Cliente], 'Saldo a Favor'!$A55, Transacciones[Tipo de Transacción], Listas!$H$5) - SUMIFS(Transacciones[Monto], Transacciones[ID Cliente], 'Saldo a Favor'!$A55, Transacciones[Tipo de Transacción], Listas!$H$3, Transacciones[Forma de Pago], Listas!$K$6))</f>
        <v/>
      </c>
    </row>
    <row r="56">
      <c r="B56" s="48" t="str">
        <f>IF(A56="","", SUMIFS(Transacciones[Monto], Transacciones[ID Cliente], 'Saldo a Favor'!$A56, Transacciones[Tipo de Transacción], Listas!$H$5) - SUMIFS(Transacciones[Monto], Transacciones[ID Cliente], 'Saldo a Favor'!$A56, Transacciones[Tipo de Transacción], Listas!$H$3, Transacciones[Forma de Pago], Listas!$K$6))</f>
        <v/>
      </c>
    </row>
    <row r="57">
      <c r="B57" s="48" t="str">
        <f>IF(A57="","", SUMIFS(Transacciones[Monto], Transacciones[ID Cliente], 'Saldo a Favor'!$A57, Transacciones[Tipo de Transacción], Listas!$H$5) - SUMIFS(Transacciones[Monto], Transacciones[ID Cliente], 'Saldo a Favor'!$A57, Transacciones[Tipo de Transacción], Listas!$H$3, Transacciones[Forma de Pago], Listas!$K$6))</f>
        <v/>
      </c>
    </row>
    <row r="58">
      <c r="B58" s="48" t="str">
        <f>IF(A58="","", SUMIFS(Transacciones[Monto], Transacciones[ID Cliente], 'Saldo a Favor'!$A58, Transacciones[Tipo de Transacción], Listas!$H$5) - SUMIFS(Transacciones[Monto], Transacciones[ID Cliente], 'Saldo a Favor'!$A58, Transacciones[Tipo de Transacción], Listas!$H$3, Transacciones[Forma de Pago], Listas!$K$6))</f>
        <v/>
      </c>
    </row>
    <row r="59">
      <c r="B59" s="48" t="str">
        <f>IF(A59="","", SUMIFS(Transacciones[Monto], Transacciones[ID Cliente], 'Saldo a Favor'!$A59, Transacciones[Tipo de Transacción], Listas!$H$5) - SUMIFS(Transacciones[Monto], Transacciones[ID Cliente], 'Saldo a Favor'!$A59, Transacciones[Tipo de Transacción], Listas!$H$3, Transacciones[Forma de Pago], Listas!$K$6))</f>
        <v/>
      </c>
    </row>
    <row r="60">
      <c r="B60" s="48" t="str">
        <f>IF(A60="","", SUMIFS(Transacciones[Monto], Transacciones[ID Cliente], 'Saldo a Favor'!$A60, Transacciones[Tipo de Transacción], Listas!$H$5) - SUMIFS(Transacciones[Monto], Transacciones[ID Cliente], 'Saldo a Favor'!$A60, Transacciones[Tipo de Transacción], Listas!$H$3, Transacciones[Forma de Pago], Listas!$K$6))</f>
        <v/>
      </c>
    </row>
    <row r="61">
      <c r="B61" s="48" t="str">
        <f>IF(A61="","", SUMIFS(Transacciones[Monto], Transacciones[ID Cliente], 'Saldo a Favor'!$A61, Transacciones[Tipo de Transacción], Listas!$H$5) - SUMIFS(Transacciones[Monto], Transacciones[ID Cliente], 'Saldo a Favor'!$A61, Transacciones[Tipo de Transacción], Listas!$H$3, Transacciones[Forma de Pago], Listas!$K$6))</f>
        <v/>
      </c>
    </row>
    <row r="62">
      <c r="B62" s="48" t="str">
        <f>IF(A62="","", SUMIFS(Transacciones[Monto], Transacciones[ID Cliente], 'Saldo a Favor'!$A62, Transacciones[Tipo de Transacción], Listas!$H$5) - SUMIFS(Transacciones[Monto], Transacciones[ID Cliente], 'Saldo a Favor'!$A62, Transacciones[Tipo de Transacción], Listas!$H$3, Transacciones[Forma de Pago], Listas!$K$6))</f>
        <v/>
      </c>
    </row>
    <row r="63">
      <c r="B63" s="48" t="str">
        <f>IF(A63="","", SUMIFS(Transacciones[Monto], Transacciones[ID Cliente], 'Saldo a Favor'!$A63, Transacciones[Tipo de Transacción], Listas!$H$5) - SUMIFS(Transacciones[Monto], Transacciones[ID Cliente], 'Saldo a Favor'!$A63, Transacciones[Tipo de Transacción], Listas!$H$3, Transacciones[Forma de Pago], Listas!$K$6))</f>
        <v/>
      </c>
    </row>
    <row r="64">
      <c r="B64" s="48" t="str">
        <f>IF(A64="","", SUMIFS(Transacciones[Monto], Transacciones[ID Cliente], 'Saldo a Favor'!$A64, Transacciones[Tipo de Transacción], Listas!$H$5) - SUMIFS(Transacciones[Monto], Transacciones[ID Cliente], 'Saldo a Favor'!$A64, Transacciones[Tipo de Transacción], Listas!$H$3, Transacciones[Forma de Pago], Listas!$K$6))</f>
        <v/>
      </c>
    </row>
    <row r="65">
      <c r="B65" s="48" t="str">
        <f>IF(A65="","", SUMIFS(Transacciones[Monto], Transacciones[ID Cliente], 'Saldo a Favor'!$A65, Transacciones[Tipo de Transacción], Listas!$H$5) - SUMIFS(Transacciones[Monto], Transacciones[ID Cliente], 'Saldo a Favor'!$A65, Transacciones[Tipo de Transacción], Listas!$H$3, Transacciones[Forma de Pago], Listas!$K$6))</f>
        <v/>
      </c>
    </row>
    <row r="66">
      <c r="B66" s="48" t="str">
        <f>IF(A66="","", SUMIFS(Transacciones[Monto], Transacciones[ID Cliente], 'Saldo a Favor'!$A66, Transacciones[Tipo de Transacción], Listas!$H$5) - SUMIFS(Transacciones[Monto], Transacciones[ID Cliente], 'Saldo a Favor'!$A66, Transacciones[Tipo de Transacción], Listas!$H$3, Transacciones[Forma de Pago], Listas!$K$6))</f>
        <v/>
      </c>
    </row>
    <row r="67">
      <c r="B67" s="48" t="str">
        <f>IF(A67="","", SUMIFS(Transacciones[Monto], Transacciones[ID Cliente], 'Saldo a Favor'!$A67, Transacciones[Tipo de Transacción], Listas!$H$5) - SUMIFS(Transacciones[Monto], Transacciones[ID Cliente], 'Saldo a Favor'!$A67, Transacciones[Tipo de Transacción], Listas!$H$3, Transacciones[Forma de Pago], Listas!$K$6))</f>
        <v/>
      </c>
    </row>
    <row r="68">
      <c r="B68" s="48" t="str">
        <f>IF(A68="","", SUMIFS(Transacciones[Monto], Transacciones[ID Cliente], 'Saldo a Favor'!$A68, Transacciones[Tipo de Transacción], Listas!$H$5) - SUMIFS(Transacciones[Monto], Transacciones[ID Cliente], 'Saldo a Favor'!$A68, Transacciones[Tipo de Transacción], Listas!$H$3, Transacciones[Forma de Pago], Listas!$K$6))</f>
        <v/>
      </c>
    </row>
    <row r="69">
      <c r="B69" s="48" t="str">
        <f>IF(A69="","", SUMIFS(Transacciones[Monto], Transacciones[ID Cliente], 'Saldo a Favor'!$A69, Transacciones[Tipo de Transacción], Listas!$H$5) - SUMIFS(Transacciones[Monto], Transacciones[ID Cliente], 'Saldo a Favor'!$A69, Transacciones[Tipo de Transacción], Listas!$H$3, Transacciones[Forma de Pago], Listas!$K$6))</f>
        <v/>
      </c>
    </row>
    <row r="70">
      <c r="B70" s="48" t="str">
        <f>IF(A70="","", SUMIFS(Transacciones[Monto], Transacciones[ID Cliente], 'Saldo a Favor'!$A70, Transacciones[Tipo de Transacción], Listas!$H$5) - SUMIFS(Transacciones[Monto], Transacciones[ID Cliente], 'Saldo a Favor'!$A70, Transacciones[Tipo de Transacción], Listas!$H$3, Transacciones[Forma de Pago], Listas!$K$6))</f>
        <v/>
      </c>
    </row>
    <row r="71">
      <c r="B71" s="48" t="str">
        <f>IF(A71="","", SUMIFS(Transacciones[Monto], Transacciones[ID Cliente], 'Saldo a Favor'!$A71, Transacciones[Tipo de Transacción], Listas!$H$5) - SUMIFS(Transacciones[Monto], Transacciones[ID Cliente], 'Saldo a Favor'!$A71, Transacciones[Tipo de Transacción], Listas!$H$3, Transacciones[Forma de Pago], Listas!$K$6))</f>
        <v/>
      </c>
    </row>
    <row r="72">
      <c r="B72" s="48" t="str">
        <f>IF(A72="","", SUMIFS(Transacciones[Monto], Transacciones[ID Cliente], 'Saldo a Favor'!$A72, Transacciones[Tipo de Transacción], Listas!$H$5) - SUMIFS(Transacciones[Monto], Transacciones[ID Cliente], 'Saldo a Favor'!$A72, Transacciones[Tipo de Transacción], Listas!$H$3, Transacciones[Forma de Pago], Listas!$K$6))</f>
        <v/>
      </c>
    </row>
    <row r="73">
      <c r="B73" s="48" t="str">
        <f>IF(A73="","", SUMIFS(Transacciones[Monto], Transacciones[ID Cliente], 'Saldo a Favor'!$A73, Transacciones[Tipo de Transacción], Listas!$H$5) - SUMIFS(Transacciones[Monto], Transacciones[ID Cliente], 'Saldo a Favor'!$A73, Transacciones[Tipo de Transacción], Listas!$H$3, Transacciones[Forma de Pago], Listas!$K$6))</f>
        <v/>
      </c>
    </row>
    <row r="74">
      <c r="B74" s="48" t="str">
        <f>IF(A74="","", SUMIFS(Transacciones[Monto], Transacciones[ID Cliente], 'Saldo a Favor'!$A74, Transacciones[Tipo de Transacción], Listas!$H$5) - SUMIFS(Transacciones[Monto], Transacciones[ID Cliente], 'Saldo a Favor'!$A74, Transacciones[Tipo de Transacción], Listas!$H$3, Transacciones[Forma de Pago], Listas!$K$6))</f>
        <v/>
      </c>
    </row>
    <row r="75">
      <c r="B75" s="48" t="str">
        <f>IF(A75="","", SUMIFS(Transacciones[Monto], Transacciones[ID Cliente], 'Saldo a Favor'!$A75, Transacciones[Tipo de Transacción], Listas!$H$5) - SUMIFS(Transacciones[Monto], Transacciones[ID Cliente], 'Saldo a Favor'!$A75, Transacciones[Tipo de Transacción], Listas!$H$3, Transacciones[Forma de Pago], Listas!$K$6))</f>
        <v/>
      </c>
    </row>
    <row r="76">
      <c r="B76" s="48" t="str">
        <f>IF(A76="","", SUMIFS(Transacciones[Monto], Transacciones[ID Cliente], 'Saldo a Favor'!$A76, Transacciones[Tipo de Transacción], Listas!$H$5) - SUMIFS(Transacciones[Monto], Transacciones[ID Cliente], 'Saldo a Favor'!$A76, Transacciones[Tipo de Transacción], Listas!$H$3, Transacciones[Forma de Pago], Listas!$K$6))</f>
        <v/>
      </c>
    </row>
    <row r="77">
      <c r="B77" s="48" t="str">
        <f>IF(A77="","", SUMIFS(Transacciones[Monto], Transacciones[ID Cliente], 'Saldo a Favor'!$A77, Transacciones[Tipo de Transacción], Listas!$H$5) - SUMIFS(Transacciones[Monto], Transacciones[ID Cliente], 'Saldo a Favor'!$A77, Transacciones[Tipo de Transacción], Listas!$H$3, Transacciones[Forma de Pago], Listas!$K$6))</f>
        <v/>
      </c>
    </row>
    <row r="78">
      <c r="B78" s="48" t="str">
        <f>IF(A78="","", SUMIFS(Transacciones[Monto], Transacciones[ID Cliente], 'Saldo a Favor'!$A78, Transacciones[Tipo de Transacción], Listas!$H$5) - SUMIFS(Transacciones[Monto], Transacciones[ID Cliente], 'Saldo a Favor'!$A78, Transacciones[Tipo de Transacción], Listas!$H$3, Transacciones[Forma de Pago], Listas!$K$6))</f>
        <v/>
      </c>
    </row>
    <row r="79">
      <c r="B79" s="48" t="str">
        <f>IF(A79="","", SUMIFS(Transacciones[Monto], Transacciones[ID Cliente], 'Saldo a Favor'!$A79, Transacciones[Tipo de Transacción], Listas!$H$5) - SUMIFS(Transacciones[Monto], Transacciones[ID Cliente], 'Saldo a Favor'!$A79, Transacciones[Tipo de Transacción], Listas!$H$3, Transacciones[Forma de Pago], Listas!$K$6))</f>
        <v/>
      </c>
    </row>
    <row r="80">
      <c r="B80" s="48" t="str">
        <f>IF(A80="","", SUMIFS(Transacciones[Monto], Transacciones[ID Cliente], 'Saldo a Favor'!$A80, Transacciones[Tipo de Transacción], Listas!$H$5) - SUMIFS(Transacciones[Monto], Transacciones[ID Cliente], 'Saldo a Favor'!$A80, Transacciones[Tipo de Transacción], Listas!$H$3, Transacciones[Forma de Pago], Listas!$K$6))</f>
        <v/>
      </c>
    </row>
    <row r="81">
      <c r="B81" s="48" t="str">
        <f>IF(A81="","", SUMIFS(Transacciones[Monto], Transacciones[ID Cliente], 'Saldo a Favor'!$A81, Transacciones[Tipo de Transacción], Listas!$H$5) - SUMIFS(Transacciones[Monto], Transacciones[ID Cliente], 'Saldo a Favor'!$A81, Transacciones[Tipo de Transacción], Listas!$H$3, Transacciones[Forma de Pago], Listas!$K$6))</f>
        <v/>
      </c>
    </row>
    <row r="82">
      <c r="B82" s="48" t="str">
        <f>IF(A82="","", SUMIFS(Transacciones[Monto], Transacciones[ID Cliente], 'Saldo a Favor'!$A82, Transacciones[Tipo de Transacción], Listas!$H$5) - SUMIFS(Transacciones[Monto], Transacciones[ID Cliente], 'Saldo a Favor'!$A82, Transacciones[Tipo de Transacción], Listas!$H$3, Transacciones[Forma de Pago], Listas!$K$6))</f>
        <v/>
      </c>
    </row>
    <row r="83">
      <c r="B83" s="48" t="str">
        <f>IF(A83="","", SUMIFS(Transacciones[Monto], Transacciones[ID Cliente], 'Saldo a Favor'!$A83, Transacciones[Tipo de Transacción], Listas!$H$5) - SUMIFS(Transacciones[Monto], Transacciones[ID Cliente], 'Saldo a Favor'!$A83, Transacciones[Tipo de Transacción], Listas!$H$3, Transacciones[Forma de Pago], Listas!$K$6))</f>
        <v/>
      </c>
    </row>
    <row r="84">
      <c r="B84" s="48" t="str">
        <f>IF(A84="","", SUMIFS(Transacciones[Monto], Transacciones[ID Cliente], 'Saldo a Favor'!$A84, Transacciones[Tipo de Transacción], Listas!$H$5) - SUMIFS(Transacciones[Monto], Transacciones[ID Cliente], 'Saldo a Favor'!$A84, Transacciones[Tipo de Transacción], Listas!$H$3, Transacciones[Forma de Pago], Listas!$K$6))</f>
        <v/>
      </c>
    </row>
    <row r="85">
      <c r="B85" s="48" t="str">
        <f>IF(A85="","", SUMIFS(Transacciones[Monto], Transacciones[ID Cliente], 'Saldo a Favor'!$A85, Transacciones[Tipo de Transacción], Listas!$H$5) - SUMIFS(Transacciones[Monto], Transacciones[ID Cliente], 'Saldo a Favor'!$A85, Transacciones[Tipo de Transacción], Listas!$H$3, Transacciones[Forma de Pago], Listas!$K$6))</f>
        <v/>
      </c>
    </row>
    <row r="86">
      <c r="B86" s="48" t="str">
        <f>IF(A86="","", SUMIFS(Transacciones[Monto], Transacciones[ID Cliente], 'Saldo a Favor'!$A86, Transacciones[Tipo de Transacción], Listas!$H$5) - SUMIFS(Transacciones[Monto], Transacciones[ID Cliente], 'Saldo a Favor'!$A86, Transacciones[Tipo de Transacción], Listas!$H$3, Transacciones[Forma de Pago], Listas!$K$6))</f>
        <v/>
      </c>
    </row>
    <row r="87">
      <c r="B87" s="48" t="str">
        <f>IF(A87="","", SUMIFS(Transacciones[Monto], Transacciones[ID Cliente], 'Saldo a Favor'!$A87, Transacciones[Tipo de Transacción], Listas!$H$5) - SUMIFS(Transacciones[Monto], Transacciones[ID Cliente], 'Saldo a Favor'!$A87, Transacciones[Tipo de Transacción], Listas!$H$3, Transacciones[Forma de Pago], Listas!$K$6))</f>
        <v/>
      </c>
    </row>
    <row r="88">
      <c r="B88" s="48" t="str">
        <f>IF(A88="","", SUMIFS(Transacciones[Monto], Transacciones[ID Cliente], 'Saldo a Favor'!$A88, Transacciones[Tipo de Transacción], Listas!$H$5) - SUMIFS(Transacciones[Monto], Transacciones[ID Cliente], 'Saldo a Favor'!$A88, Transacciones[Tipo de Transacción], Listas!$H$3, Transacciones[Forma de Pago], Listas!$K$6))</f>
        <v/>
      </c>
    </row>
    <row r="89">
      <c r="B89" s="48" t="str">
        <f>IF(A89="","", SUMIFS(Transacciones[Monto], Transacciones[ID Cliente], 'Saldo a Favor'!$A89, Transacciones[Tipo de Transacción], Listas!$H$5) - SUMIFS(Transacciones[Monto], Transacciones[ID Cliente], 'Saldo a Favor'!$A89, Transacciones[Tipo de Transacción], Listas!$H$3, Transacciones[Forma de Pago], Listas!$K$6))</f>
        <v/>
      </c>
    </row>
    <row r="90">
      <c r="B90" s="48" t="str">
        <f>IF(A90="","", SUMIFS(Transacciones[Monto], Transacciones[ID Cliente], 'Saldo a Favor'!$A90, Transacciones[Tipo de Transacción], Listas!$H$5) - SUMIFS(Transacciones[Monto], Transacciones[ID Cliente], 'Saldo a Favor'!$A90, Transacciones[Tipo de Transacción], Listas!$H$3, Transacciones[Forma de Pago], Listas!$K$6))</f>
        <v/>
      </c>
    </row>
    <row r="91">
      <c r="B91" s="48" t="str">
        <f>IF(A91="","", SUMIFS(Transacciones[Monto], Transacciones[ID Cliente], 'Saldo a Favor'!$A91, Transacciones[Tipo de Transacción], Listas!$H$5) - SUMIFS(Transacciones[Monto], Transacciones[ID Cliente], 'Saldo a Favor'!$A91, Transacciones[Tipo de Transacción], Listas!$H$3, Transacciones[Forma de Pago], Listas!$K$6))</f>
        <v/>
      </c>
    </row>
    <row r="92">
      <c r="B92" s="48" t="str">
        <f>IF(A92="","", SUMIFS(Transacciones[Monto], Transacciones[ID Cliente], 'Saldo a Favor'!$A92, Transacciones[Tipo de Transacción], Listas!$H$5) - SUMIFS(Transacciones[Monto], Transacciones[ID Cliente], 'Saldo a Favor'!$A92, Transacciones[Tipo de Transacción], Listas!$H$3, Transacciones[Forma de Pago], Listas!$K$6))</f>
        <v/>
      </c>
    </row>
    <row r="93">
      <c r="B93" s="48" t="str">
        <f>IF(A93="","", SUMIFS(Transacciones[Monto], Transacciones[ID Cliente], 'Saldo a Favor'!$A93, Transacciones[Tipo de Transacción], Listas!$H$5) - SUMIFS(Transacciones[Monto], Transacciones[ID Cliente], 'Saldo a Favor'!$A93, Transacciones[Tipo de Transacción], Listas!$H$3, Transacciones[Forma de Pago], Listas!$K$6))</f>
        <v/>
      </c>
    </row>
    <row r="94">
      <c r="B94" s="48" t="str">
        <f>IF(A94="","", SUMIFS(Transacciones[Monto], Transacciones[ID Cliente], 'Saldo a Favor'!$A94, Transacciones[Tipo de Transacción], Listas!$H$5) - SUMIFS(Transacciones[Monto], Transacciones[ID Cliente], 'Saldo a Favor'!$A94, Transacciones[Tipo de Transacción], Listas!$H$3, Transacciones[Forma de Pago], Listas!$K$6))</f>
        <v/>
      </c>
    </row>
    <row r="95">
      <c r="B95" s="48" t="str">
        <f>IF(A95="","", SUMIFS(Transacciones[Monto], Transacciones[ID Cliente], 'Saldo a Favor'!$A95, Transacciones[Tipo de Transacción], Listas!$H$5) - SUMIFS(Transacciones[Monto], Transacciones[ID Cliente], 'Saldo a Favor'!$A95, Transacciones[Tipo de Transacción], Listas!$H$3, Transacciones[Forma de Pago], Listas!$K$6))</f>
        <v/>
      </c>
    </row>
    <row r="96">
      <c r="B96" s="48" t="str">
        <f>IF(A96="","", SUMIFS(Transacciones[Monto], Transacciones[ID Cliente], 'Saldo a Favor'!$A96, Transacciones[Tipo de Transacción], Listas!$H$5) - SUMIFS(Transacciones[Monto], Transacciones[ID Cliente], 'Saldo a Favor'!$A96, Transacciones[Tipo de Transacción], Listas!$H$3, Transacciones[Forma de Pago], Listas!$K$6))</f>
        <v/>
      </c>
    </row>
    <row r="97">
      <c r="B97" s="48" t="str">
        <f>IF(A97="","", SUMIFS(Transacciones[Monto], Transacciones[ID Cliente], 'Saldo a Favor'!$A97, Transacciones[Tipo de Transacción], Listas!$H$5) - SUMIFS(Transacciones[Monto], Transacciones[ID Cliente], 'Saldo a Favor'!$A97, Transacciones[Tipo de Transacción], Listas!$H$3, Transacciones[Forma de Pago], Listas!$K$6))</f>
        <v/>
      </c>
    </row>
    <row r="98">
      <c r="B98" s="48" t="str">
        <f>IF(A98="","", SUMIFS(Transacciones[Monto], Transacciones[ID Cliente], 'Saldo a Favor'!$A98, Transacciones[Tipo de Transacción], Listas!$H$5) - SUMIFS(Transacciones[Monto], Transacciones[ID Cliente], 'Saldo a Favor'!$A98, Transacciones[Tipo de Transacción], Listas!$H$3, Transacciones[Forma de Pago], Listas!$K$6))</f>
        <v/>
      </c>
    </row>
    <row r="99">
      <c r="B99" s="48" t="str">
        <f>IF(A99="","", SUMIFS(Transacciones[Monto], Transacciones[ID Cliente], 'Saldo a Favor'!$A99, Transacciones[Tipo de Transacción], Listas!$H$5) - SUMIFS(Transacciones[Monto], Transacciones[ID Cliente], 'Saldo a Favor'!$A99, Transacciones[Tipo de Transacción], Listas!$H$3, Transacciones[Forma de Pago], Listas!$K$6))</f>
        <v/>
      </c>
    </row>
    <row r="100">
      <c r="B100" s="48" t="str">
        <f>IF(A100="","", SUMIFS(Transacciones[Monto], Transacciones[ID Cliente], 'Saldo a Favor'!$A100, Transacciones[Tipo de Transacción], Listas!$H$5) - SUMIFS(Transacciones[Monto], Transacciones[ID Cliente], 'Saldo a Favor'!$A100, Transacciones[Tipo de Transacción], Listas!$H$3, Transacciones[Forma de Pago], Listas!$K$6))</f>
        <v/>
      </c>
    </row>
    <row r="101">
      <c r="B101" s="48" t="str">
        <f>IF(A101="","", SUMIFS(Transacciones[Monto], Transacciones[ID Cliente], 'Saldo a Favor'!$A101, Transacciones[Tipo de Transacción], Listas!$H$5) - SUMIFS(Transacciones[Monto], Transacciones[ID Cliente], 'Saldo a Favor'!$A101, Transacciones[Tipo de Transacción], Listas!$H$3, Transacciones[Forma de Pago], Listas!$K$6))</f>
        <v/>
      </c>
    </row>
    <row r="102">
      <c r="B102" s="48" t="str">
        <f>IF(A102="","", SUMIFS(Transacciones[Monto], Transacciones[ID Cliente], 'Saldo a Favor'!$A102, Transacciones[Tipo de Transacción], Listas!$H$5) - SUMIFS(Transacciones[Monto], Transacciones[ID Cliente], 'Saldo a Favor'!$A102, Transacciones[Tipo de Transacción], Listas!$H$3, Transacciones[Forma de Pago], Listas!$K$6))</f>
        <v/>
      </c>
    </row>
    <row r="103">
      <c r="B103" s="48" t="str">
        <f>IF(A103="","", SUMIFS(Transacciones[Monto], Transacciones[ID Cliente], 'Saldo a Favor'!$A103, Transacciones[Tipo de Transacción], Listas!$H$5) - SUMIFS(Transacciones[Monto], Transacciones[ID Cliente], 'Saldo a Favor'!$A103, Transacciones[Tipo de Transacción], Listas!$H$3, Transacciones[Forma de Pago], Listas!$K$6))</f>
        <v/>
      </c>
    </row>
    <row r="104">
      <c r="B104" s="48" t="str">
        <f>IF(A104="","", SUMIFS(Transacciones[Monto], Transacciones[ID Cliente], 'Saldo a Favor'!$A104, Transacciones[Tipo de Transacción], Listas!$H$5) - SUMIFS(Transacciones[Monto], Transacciones[ID Cliente], 'Saldo a Favor'!$A104, Transacciones[Tipo de Transacción], Listas!$H$3, Transacciones[Forma de Pago], Listas!$K$6))</f>
        <v/>
      </c>
    </row>
    <row r="105">
      <c r="B105" s="48" t="str">
        <f>IF(A105="","", SUMIFS(Transacciones[Monto], Transacciones[ID Cliente], 'Saldo a Favor'!$A105, Transacciones[Tipo de Transacción], Listas!$H$5) - SUMIFS(Transacciones[Monto], Transacciones[ID Cliente], 'Saldo a Favor'!$A105, Transacciones[Tipo de Transacción], Listas!$H$3, Transacciones[Forma de Pago], Listas!$K$6))</f>
        <v/>
      </c>
    </row>
    <row r="106">
      <c r="B106" s="48" t="str">
        <f>IF(A106="","", SUMIFS(Transacciones[Monto], Transacciones[ID Cliente], 'Saldo a Favor'!$A106, Transacciones[Tipo de Transacción], Listas!$H$5) - SUMIFS(Transacciones[Monto], Transacciones[ID Cliente], 'Saldo a Favor'!$A106, Transacciones[Tipo de Transacción], Listas!$H$3, Transacciones[Forma de Pago], Listas!$K$6))</f>
        <v/>
      </c>
    </row>
    <row r="107">
      <c r="B107" s="48" t="str">
        <f>IF(A107="","", SUMIFS(Transacciones[Monto], Transacciones[ID Cliente], 'Saldo a Favor'!$A107, Transacciones[Tipo de Transacción], Listas!$H$5) - SUMIFS(Transacciones[Monto], Transacciones[ID Cliente], 'Saldo a Favor'!$A107, Transacciones[Tipo de Transacción], Listas!$H$3, Transacciones[Forma de Pago], Listas!$K$6))</f>
        <v/>
      </c>
    </row>
    <row r="108">
      <c r="B108" s="48" t="str">
        <f>IF(A108="","", SUMIFS(Transacciones[Monto], Transacciones[ID Cliente], 'Saldo a Favor'!$A108, Transacciones[Tipo de Transacción], Listas!$H$5) - SUMIFS(Transacciones[Monto], Transacciones[ID Cliente], 'Saldo a Favor'!$A108, Transacciones[Tipo de Transacción], Listas!$H$3, Transacciones[Forma de Pago], Listas!$K$6))</f>
        <v/>
      </c>
    </row>
    <row r="109">
      <c r="B109" s="48" t="str">
        <f>IF(A109="","", SUMIFS(Transacciones[Monto], Transacciones[ID Cliente], 'Saldo a Favor'!$A109, Transacciones[Tipo de Transacción], Listas!$H$5) - SUMIFS(Transacciones[Monto], Transacciones[ID Cliente], 'Saldo a Favor'!$A109, Transacciones[Tipo de Transacción], Listas!$H$3, Transacciones[Forma de Pago], Listas!$K$6))</f>
        <v/>
      </c>
    </row>
    <row r="110">
      <c r="B110" s="48" t="str">
        <f>IF(A110="","", SUMIFS(Transacciones[Monto], Transacciones[ID Cliente], 'Saldo a Favor'!$A110, Transacciones[Tipo de Transacción], Listas!$H$5) - SUMIFS(Transacciones[Monto], Transacciones[ID Cliente], 'Saldo a Favor'!$A110, Transacciones[Tipo de Transacción], Listas!$H$3, Transacciones[Forma de Pago], Listas!$K$6))</f>
        <v/>
      </c>
    </row>
    <row r="111">
      <c r="B111" s="48" t="str">
        <f>IF(A111="","", SUMIFS(Transacciones[Monto], Transacciones[ID Cliente], 'Saldo a Favor'!$A111, Transacciones[Tipo de Transacción], Listas!$H$5) - SUMIFS(Transacciones[Monto], Transacciones[ID Cliente], 'Saldo a Favor'!$A111, Transacciones[Tipo de Transacción], Listas!$H$3, Transacciones[Forma de Pago], Listas!$K$6))</f>
        <v/>
      </c>
    </row>
    <row r="112">
      <c r="B112" s="48" t="str">
        <f>IF(A112="","", SUMIFS(Transacciones[Monto], Transacciones[ID Cliente], 'Saldo a Favor'!$A112, Transacciones[Tipo de Transacción], Listas!$H$5) - SUMIFS(Transacciones[Monto], Transacciones[ID Cliente], 'Saldo a Favor'!$A112, Transacciones[Tipo de Transacción], Listas!$H$3, Transacciones[Forma de Pago], Listas!$K$6))</f>
        <v/>
      </c>
    </row>
    <row r="113">
      <c r="B113" s="48" t="str">
        <f>IF(A113="","", SUMIFS(Transacciones[Monto], Transacciones[ID Cliente], 'Saldo a Favor'!$A113, Transacciones[Tipo de Transacción], Listas!$H$5) - SUMIFS(Transacciones[Monto], Transacciones[ID Cliente], 'Saldo a Favor'!$A113, Transacciones[Tipo de Transacción], Listas!$H$3, Transacciones[Forma de Pago], Listas!$K$6))</f>
        <v/>
      </c>
    </row>
    <row r="114">
      <c r="B114" s="48" t="str">
        <f>IF(A114="","", SUMIFS(Transacciones[Monto], Transacciones[ID Cliente], 'Saldo a Favor'!$A114, Transacciones[Tipo de Transacción], Listas!$H$5) - SUMIFS(Transacciones[Monto], Transacciones[ID Cliente], 'Saldo a Favor'!$A114, Transacciones[Tipo de Transacción], Listas!$H$3, Transacciones[Forma de Pago], Listas!$K$6))</f>
        <v/>
      </c>
    </row>
    <row r="115">
      <c r="B115" s="48" t="str">
        <f>IF(A115="","", SUMIFS(Transacciones[Monto], Transacciones[ID Cliente], 'Saldo a Favor'!$A115, Transacciones[Tipo de Transacción], Listas!$H$5) - SUMIFS(Transacciones[Monto], Transacciones[ID Cliente], 'Saldo a Favor'!$A115, Transacciones[Tipo de Transacción], Listas!$H$3, Transacciones[Forma de Pago], Listas!$K$6))</f>
        <v/>
      </c>
    </row>
    <row r="116">
      <c r="B116" s="48" t="str">
        <f>IF(A116="","", SUMIFS(Transacciones[Monto], Transacciones[ID Cliente], 'Saldo a Favor'!$A116, Transacciones[Tipo de Transacción], Listas!$H$5) - SUMIFS(Transacciones[Monto], Transacciones[ID Cliente], 'Saldo a Favor'!$A116, Transacciones[Tipo de Transacción], Listas!$H$3, Transacciones[Forma de Pago], Listas!$K$6))</f>
        <v/>
      </c>
    </row>
    <row r="117">
      <c r="B117" s="48" t="str">
        <f>IF(A117="","", SUMIFS(Transacciones[Monto], Transacciones[ID Cliente], 'Saldo a Favor'!$A117, Transacciones[Tipo de Transacción], Listas!$H$5) - SUMIFS(Transacciones[Monto], Transacciones[ID Cliente], 'Saldo a Favor'!$A117, Transacciones[Tipo de Transacción], Listas!$H$3, Transacciones[Forma de Pago], Listas!$K$6))</f>
        <v/>
      </c>
    </row>
    <row r="118">
      <c r="B118" s="48" t="str">
        <f>IF(A118="","", SUMIFS(Transacciones[Monto], Transacciones[ID Cliente], 'Saldo a Favor'!$A118, Transacciones[Tipo de Transacción], Listas!$H$5) - SUMIFS(Transacciones[Monto], Transacciones[ID Cliente], 'Saldo a Favor'!$A118, Transacciones[Tipo de Transacción], Listas!$H$3, Transacciones[Forma de Pago], Listas!$K$6))</f>
        <v/>
      </c>
    </row>
    <row r="119">
      <c r="B119" s="48" t="str">
        <f>IF(A119="","", SUMIFS(Transacciones[Monto], Transacciones[ID Cliente], 'Saldo a Favor'!$A119, Transacciones[Tipo de Transacción], Listas!$H$5) - SUMIFS(Transacciones[Monto], Transacciones[ID Cliente], 'Saldo a Favor'!$A119, Transacciones[Tipo de Transacción], Listas!$H$3, Transacciones[Forma de Pago], Listas!$K$6))</f>
        <v/>
      </c>
    </row>
    <row r="120">
      <c r="B120" s="48" t="str">
        <f>IF(A120="","", SUMIFS(Transacciones[Monto], Transacciones[ID Cliente], 'Saldo a Favor'!$A120, Transacciones[Tipo de Transacción], Listas!$H$5) - SUMIFS(Transacciones[Monto], Transacciones[ID Cliente], 'Saldo a Favor'!$A120, Transacciones[Tipo de Transacción], Listas!$H$3, Transacciones[Forma de Pago], Listas!$K$6))</f>
        <v/>
      </c>
    </row>
    <row r="121">
      <c r="B121" s="48" t="str">
        <f>IF(A121="","", SUMIFS(Transacciones[Monto], Transacciones[ID Cliente], 'Saldo a Favor'!$A121, Transacciones[Tipo de Transacción], Listas!$H$5) - SUMIFS(Transacciones[Monto], Transacciones[ID Cliente], 'Saldo a Favor'!$A121, Transacciones[Tipo de Transacción], Listas!$H$3, Transacciones[Forma de Pago], Listas!$K$6))</f>
        <v/>
      </c>
    </row>
    <row r="122">
      <c r="B122" s="48" t="str">
        <f>IF(A122="","", SUMIFS(Transacciones[Monto], Transacciones[ID Cliente], 'Saldo a Favor'!$A122, Transacciones[Tipo de Transacción], Listas!$H$5) - SUMIFS(Transacciones[Monto], Transacciones[ID Cliente], 'Saldo a Favor'!$A122, Transacciones[Tipo de Transacción], Listas!$H$3, Transacciones[Forma de Pago], Listas!$K$6))</f>
        <v/>
      </c>
    </row>
    <row r="123">
      <c r="B123" s="48" t="str">
        <f>IF(A123="","", SUMIFS(Transacciones[Monto], Transacciones[ID Cliente], 'Saldo a Favor'!$A123, Transacciones[Tipo de Transacción], Listas!$H$5) - SUMIFS(Transacciones[Monto], Transacciones[ID Cliente], 'Saldo a Favor'!$A123, Transacciones[Tipo de Transacción], Listas!$H$3, Transacciones[Forma de Pago], Listas!$K$6))</f>
        <v/>
      </c>
    </row>
    <row r="124">
      <c r="B124" s="48" t="str">
        <f>IF(A124="","", SUMIFS(Transacciones[Monto], Transacciones[ID Cliente], 'Saldo a Favor'!$A124, Transacciones[Tipo de Transacción], Listas!$H$5) - SUMIFS(Transacciones[Monto], Transacciones[ID Cliente], 'Saldo a Favor'!$A124, Transacciones[Tipo de Transacción], Listas!$H$3, Transacciones[Forma de Pago], Listas!$K$6))</f>
        <v/>
      </c>
    </row>
    <row r="125">
      <c r="B125" s="48" t="str">
        <f>IF(A125="","", SUMIFS(Transacciones[Monto], Transacciones[ID Cliente], 'Saldo a Favor'!$A125, Transacciones[Tipo de Transacción], Listas!$H$5) - SUMIFS(Transacciones[Monto], Transacciones[ID Cliente], 'Saldo a Favor'!$A125, Transacciones[Tipo de Transacción], Listas!$H$3, Transacciones[Forma de Pago], Listas!$K$6))</f>
        <v/>
      </c>
    </row>
    <row r="126">
      <c r="B126" s="48" t="str">
        <f>IF(A126="","", SUMIFS(Transacciones[Monto], Transacciones[ID Cliente], 'Saldo a Favor'!$A126, Transacciones[Tipo de Transacción], Listas!$H$5) - SUMIFS(Transacciones[Monto], Transacciones[ID Cliente], 'Saldo a Favor'!$A126, Transacciones[Tipo de Transacción], Listas!$H$3, Transacciones[Forma de Pago], Listas!$K$6))</f>
        <v/>
      </c>
    </row>
    <row r="127">
      <c r="B127" s="48" t="str">
        <f>IF(A127="","", SUMIFS(Transacciones[Monto], Transacciones[ID Cliente], 'Saldo a Favor'!$A127, Transacciones[Tipo de Transacción], Listas!$H$5) - SUMIFS(Transacciones[Monto], Transacciones[ID Cliente], 'Saldo a Favor'!$A127, Transacciones[Tipo de Transacción], Listas!$H$3, Transacciones[Forma de Pago], Listas!$K$6))</f>
        <v/>
      </c>
    </row>
    <row r="128">
      <c r="B128" s="48" t="str">
        <f>IF(A128="","", SUMIFS(Transacciones[Monto], Transacciones[ID Cliente], 'Saldo a Favor'!$A128, Transacciones[Tipo de Transacción], Listas!$H$5) - SUMIFS(Transacciones[Monto], Transacciones[ID Cliente], 'Saldo a Favor'!$A128, Transacciones[Tipo de Transacción], Listas!$H$3, Transacciones[Forma de Pago], Listas!$K$6))</f>
        <v/>
      </c>
    </row>
    <row r="129">
      <c r="B129" s="48" t="str">
        <f>IF(A129="","", SUMIFS(Transacciones[Monto], Transacciones[ID Cliente], 'Saldo a Favor'!$A129, Transacciones[Tipo de Transacción], Listas!$H$5) - SUMIFS(Transacciones[Monto], Transacciones[ID Cliente], 'Saldo a Favor'!$A129, Transacciones[Tipo de Transacción], Listas!$H$3, Transacciones[Forma de Pago], Listas!$K$6))</f>
        <v/>
      </c>
    </row>
    <row r="130">
      <c r="B130" s="48" t="str">
        <f>IF(A130="","", SUMIFS(Transacciones[Monto], Transacciones[ID Cliente], 'Saldo a Favor'!$A130, Transacciones[Tipo de Transacción], Listas!$H$5) - SUMIFS(Transacciones[Monto], Transacciones[ID Cliente], 'Saldo a Favor'!$A130, Transacciones[Tipo de Transacción], Listas!$H$3, Transacciones[Forma de Pago], Listas!$K$6))</f>
        <v/>
      </c>
    </row>
    <row r="131">
      <c r="B131" s="48" t="str">
        <f>IF(A131="","", SUMIFS(Transacciones[Monto], Transacciones[ID Cliente], 'Saldo a Favor'!$A131, Transacciones[Tipo de Transacción], Listas!$H$5) - SUMIFS(Transacciones[Monto], Transacciones[ID Cliente], 'Saldo a Favor'!$A131, Transacciones[Tipo de Transacción], Listas!$H$3, Transacciones[Forma de Pago], Listas!$K$6))</f>
        <v/>
      </c>
    </row>
    <row r="132">
      <c r="B132" s="48" t="str">
        <f>IF(A132="","", SUMIFS(Transacciones[Monto], Transacciones[ID Cliente], 'Saldo a Favor'!$A132, Transacciones[Tipo de Transacción], Listas!$H$5) - SUMIFS(Transacciones[Monto], Transacciones[ID Cliente], 'Saldo a Favor'!$A132, Transacciones[Tipo de Transacción], Listas!$H$3, Transacciones[Forma de Pago], Listas!$K$6))</f>
        <v/>
      </c>
    </row>
    <row r="133">
      <c r="B133" s="48" t="str">
        <f>IF(A133="","", SUMIFS(Transacciones[Monto], Transacciones[ID Cliente], 'Saldo a Favor'!$A133, Transacciones[Tipo de Transacción], Listas!$H$5) - SUMIFS(Transacciones[Monto], Transacciones[ID Cliente], 'Saldo a Favor'!$A133, Transacciones[Tipo de Transacción], Listas!$H$3, Transacciones[Forma de Pago], Listas!$K$6))</f>
        <v/>
      </c>
    </row>
    <row r="134">
      <c r="B134" s="48" t="str">
        <f>IF(A134="","", SUMIFS(Transacciones[Monto], Transacciones[ID Cliente], 'Saldo a Favor'!$A134, Transacciones[Tipo de Transacción], Listas!$H$5) - SUMIFS(Transacciones[Monto], Transacciones[ID Cliente], 'Saldo a Favor'!$A134, Transacciones[Tipo de Transacción], Listas!$H$3, Transacciones[Forma de Pago], Listas!$K$6))</f>
        <v/>
      </c>
    </row>
    <row r="135">
      <c r="B135" s="48" t="str">
        <f>IF(A135="","", SUMIFS(Transacciones[Monto], Transacciones[ID Cliente], 'Saldo a Favor'!$A135, Transacciones[Tipo de Transacción], Listas!$H$5) - SUMIFS(Transacciones[Monto], Transacciones[ID Cliente], 'Saldo a Favor'!$A135, Transacciones[Tipo de Transacción], Listas!$H$3, Transacciones[Forma de Pago], Listas!$K$6))</f>
        <v/>
      </c>
    </row>
    <row r="136">
      <c r="B136" s="48" t="str">
        <f>IF(A136="","", SUMIFS(Transacciones[Monto], Transacciones[ID Cliente], 'Saldo a Favor'!$A136, Transacciones[Tipo de Transacción], Listas!$H$5) - SUMIFS(Transacciones[Monto], Transacciones[ID Cliente], 'Saldo a Favor'!$A136, Transacciones[Tipo de Transacción], Listas!$H$3, Transacciones[Forma de Pago], Listas!$K$6))</f>
        <v/>
      </c>
    </row>
    <row r="137">
      <c r="B137" s="48" t="str">
        <f>IF(A137="","", SUMIFS(Transacciones[Monto], Transacciones[ID Cliente], 'Saldo a Favor'!$A137, Transacciones[Tipo de Transacción], Listas!$H$5) - SUMIFS(Transacciones[Monto], Transacciones[ID Cliente], 'Saldo a Favor'!$A137, Transacciones[Tipo de Transacción], Listas!$H$3, Transacciones[Forma de Pago], Listas!$K$6))</f>
        <v/>
      </c>
    </row>
    <row r="138">
      <c r="B138" s="48" t="str">
        <f>IF(A138="","", SUMIFS(Transacciones[Monto], Transacciones[ID Cliente], 'Saldo a Favor'!$A138, Transacciones[Tipo de Transacción], Listas!$H$5) - SUMIFS(Transacciones[Monto], Transacciones[ID Cliente], 'Saldo a Favor'!$A138, Transacciones[Tipo de Transacción], Listas!$H$3, Transacciones[Forma de Pago], Listas!$K$6))</f>
        <v/>
      </c>
    </row>
    <row r="139">
      <c r="B139" s="48" t="str">
        <f>IF(A139="","", SUMIFS(Transacciones[Monto], Transacciones[ID Cliente], 'Saldo a Favor'!$A139, Transacciones[Tipo de Transacción], Listas!$H$5) - SUMIFS(Transacciones[Monto], Transacciones[ID Cliente], 'Saldo a Favor'!$A139, Transacciones[Tipo de Transacción], Listas!$H$3, Transacciones[Forma de Pago], Listas!$K$6))</f>
        <v/>
      </c>
    </row>
    <row r="140">
      <c r="B140" s="48" t="str">
        <f>IF(A140="","", SUMIFS(Transacciones[Monto], Transacciones[ID Cliente], 'Saldo a Favor'!$A140, Transacciones[Tipo de Transacción], Listas!$H$5) - SUMIFS(Transacciones[Monto], Transacciones[ID Cliente], 'Saldo a Favor'!$A140, Transacciones[Tipo de Transacción], Listas!$H$3, Transacciones[Forma de Pago], Listas!$K$6))</f>
        <v/>
      </c>
    </row>
    <row r="141">
      <c r="B141" s="48" t="str">
        <f>IF(A141="","", SUMIFS(Transacciones[Monto], Transacciones[ID Cliente], 'Saldo a Favor'!$A141, Transacciones[Tipo de Transacción], Listas!$H$5) - SUMIFS(Transacciones[Monto], Transacciones[ID Cliente], 'Saldo a Favor'!$A141, Transacciones[Tipo de Transacción], Listas!$H$3, Transacciones[Forma de Pago], Listas!$K$6))</f>
        <v/>
      </c>
    </row>
    <row r="142">
      <c r="B142" s="48" t="str">
        <f>IF(A142="","", SUMIFS(Transacciones[Monto], Transacciones[ID Cliente], 'Saldo a Favor'!$A142, Transacciones[Tipo de Transacción], Listas!$H$5) - SUMIFS(Transacciones[Monto], Transacciones[ID Cliente], 'Saldo a Favor'!$A142, Transacciones[Tipo de Transacción], Listas!$H$3, Transacciones[Forma de Pago], Listas!$K$6))</f>
        <v/>
      </c>
    </row>
    <row r="143">
      <c r="B143" s="48" t="str">
        <f>IF(A143="","", SUMIFS(Transacciones[Monto], Transacciones[ID Cliente], 'Saldo a Favor'!$A143, Transacciones[Tipo de Transacción], Listas!$H$5) - SUMIFS(Transacciones[Monto], Transacciones[ID Cliente], 'Saldo a Favor'!$A143, Transacciones[Tipo de Transacción], Listas!$H$3, Transacciones[Forma de Pago], Listas!$K$6))</f>
        <v/>
      </c>
    </row>
    <row r="144">
      <c r="B144" s="48" t="str">
        <f>IF(A144="","", SUMIFS(Transacciones[Monto], Transacciones[ID Cliente], 'Saldo a Favor'!$A144, Transacciones[Tipo de Transacción], Listas!$H$5) - SUMIFS(Transacciones[Monto], Transacciones[ID Cliente], 'Saldo a Favor'!$A144, Transacciones[Tipo de Transacción], Listas!$H$3, Transacciones[Forma de Pago], Listas!$K$6))</f>
        <v/>
      </c>
    </row>
    <row r="145">
      <c r="B145" s="48" t="str">
        <f>IF(A145="","", SUMIFS(Transacciones[Monto], Transacciones[ID Cliente], 'Saldo a Favor'!$A145, Transacciones[Tipo de Transacción], Listas!$H$5) - SUMIFS(Transacciones[Monto], Transacciones[ID Cliente], 'Saldo a Favor'!$A145, Transacciones[Tipo de Transacción], Listas!$H$3, Transacciones[Forma de Pago], Listas!$K$6))</f>
        <v/>
      </c>
    </row>
    <row r="146">
      <c r="B146" s="48" t="str">
        <f>IF(A146="","", SUMIFS(Transacciones[Monto], Transacciones[ID Cliente], 'Saldo a Favor'!$A146, Transacciones[Tipo de Transacción], Listas!$H$5) - SUMIFS(Transacciones[Monto], Transacciones[ID Cliente], 'Saldo a Favor'!$A146, Transacciones[Tipo de Transacción], Listas!$H$3, Transacciones[Forma de Pago], Listas!$K$6))</f>
        <v/>
      </c>
    </row>
    <row r="147">
      <c r="B147" s="48" t="str">
        <f>IF(A147="","", SUMIFS(Transacciones[Monto], Transacciones[ID Cliente], 'Saldo a Favor'!$A147, Transacciones[Tipo de Transacción], Listas!$H$5) - SUMIFS(Transacciones[Monto], Transacciones[ID Cliente], 'Saldo a Favor'!$A147, Transacciones[Tipo de Transacción], Listas!$H$3, Transacciones[Forma de Pago], Listas!$K$6))</f>
        <v/>
      </c>
    </row>
    <row r="148">
      <c r="B148" s="48" t="str">
        <f>IF(A148="","", SUMIFS(Transacciones[Monto], Transacciones[ID Cliente], 'Saldo a Favor'!$A148, Transacciones[Tipo de Transacción], Listas!$H$5) - SUMIFS(Transacciones[Monto], Transacciones[ID Cliente], 'Saldo a Favor'!$A148, Transacciones[Tipo de Transacción], Listas!$H$3, Transacciones[Forma de Pago], Listas!$K$6))</f>
        <v/>
      </c>
    </row>
    <row r="149">
      <c r="B149" s="48" t="str">
        <f>IF(A149="","", SUMIFS(Transacciones[Monto], Transacciones[ID Cliente], 'Saldo a Favor'!$A149, Transacciones[Tipo de Transacción], Listas!$H$5) - SUMIFS(Transacciones[Monto], Transacciones[ID Cliente], 'Saldo a Favor'!$A149, Transacciones[Tipo de Transacción], Listas!$H$3, Transacciones[Forma de Pago], Listas!$K$6))</f>
        <v/>
      </c>
    </row>
    <row r="150">
      <c r="B150" s="48" t="str">
        <f>IF(A150="","", SUMIFS(Transacciones[Monto], Transacciones[ID Cliente], 'Saldo a Favor'!$A150, Transacciones[Tipo de Transacción], Listas!$H$5) - SUMIFS(Transacciones[Monto], Transacciones[ID Cliente], 'Saldo a Favor'!$A150, Transacciones[Tipo de Transacción], Listas!$H$3, Transacciones[Forma de Pago], Listas!$K$6))</f>
        <v/>
      </c>
    </row>
    <row r="151">
      <c r="B151" s="48" t="str">
        <f>IF(A151="","", SUMIFS(Transacciones[Monto], Transacciones[ID Cliente], 'Saldo a Favor'!$A151, Transacciones[Tipo de Transacción], Listas!$H$5) - SUMIFS(Transacciones[Monto], Transacciones[ID Cliente], 'Saldo a Favor'!$A151, Transacciones[Tipo de Transacción], Listas!$H$3, Transacciones[Forma de Pago], Listas!$K$6))</f>
        <v/>
      </c>
    </row>
    <row r="152">
      <c r="B152" s="48" t="str">
        <f>IF(A152="","", SUMIFS(Transacciones[Monto], Transacciones[ID Cliente], 'Saldo a Favor'!$A152, Transacciones[Tipo de Transacción], Listas!$H$5) - SUMIFS(Transacciones[Monto], Transacciones[ID Cliente], 'Saldo a Favor'!$A152, Transacciones[Tipo de Transacción], Listas!$H$3, Transacciones[Forma de Pago], Listas!$K$6))</f>
        <v/>
      </c>
    </row>
    <row r="153">
      <c r="B153" s="48" t="str">
        <f>IF(A153="","", SUMIFS(Transacciones[Monto], Transacciones[ID Cliente], 'Saldo a Favor'!$A153, Transacciones[Tipo de Transacción], Listas!$H$5) - SUMIFS(Transacciones[Monto], Transacciones[ID Cliente], 'Saldo a Favor'!$A153, Transacciones[Tipo de Transacción], Listas!$H$3, Transacciones[Forma de Pago], Listas!$K$6))</f>
        <v/>
      </c>
    </row>
    <row r="154">
      <c r="B154" s="48" t="str">
        <f>IF(A154="","", SUMIFS(Transacciones[Monto], Transacciones[ID Cliente], 'Saldo a Favor'!$A154, Transacciones[Tipo de Transacción], Listas!$H$5) - SUMIFS(Transacciones[Monto], Transacciones[ID Cliente], 'Saldo a Favor'!$A154, Transacciones[Tipo de Transacción], Listas!$H$3, Transacciones[Forma de Pago], Listas!$K$6))</f>
        <v/>
      </c>
    </row>
    <row r="155">
      <c r="B155" s="48" t="str">
        <f>IF(A155="","", SUMIFS(Transacciones[Monto], Transacciones[ID Cliente], 'Saldo a Favor'!$A155, Transacciones[Tipo de Transacción], Listas!$H$5) - SUMIFS(Transacciones[Monto], Transacciones[ID Cliente], 'Saldo a Favor'!$A155, Transacciones[Tipo de Transacción], Listas!$H$3, Transacciones[Forma de Pago], Listas!$K$6))</f>
        <v/>
      </c>
    </row>
    <row r="156">
      <c r="B156" s="48" t="str">
        <f>IF(A156="","", SUMIFS(Transacciones[Monto], Transacciones[ID Cliente], 'Saldo a Favor'!$A156, Transacciones[Tipo de Transacción], Listas!$H$5) - SUMIFS(Transacciones[Monto], Transacciones[ID Cliente], 'Saldo a Favor'!$A156, Transacciones[Tipo de Transacción], Listas!$H$3, Transacciones[Forma de Pago], Listas!$K$6))</f>
        <v/>
      </c>
    </row>
    <row r="157">
      <c r="B157" s="48" t="str">
        <f>IF(A157="","", SUMIFS(Transacciones[Monto], Transacciones[ID Cliente], 'Saldo a Favor'!$A157, Transacciones[Tipo de Transacción], Listas!$H$5) - SUMIFS(Transacciones[Monto], Transacciones[ID Cliente], 'Saldo a Favor'!$A157, Transacciones[Tipo de Transacción], Listas!$H$3, Transacciones[Forma de Pago], Listas!$K$6))</f>
        <v/>
      </c>
    </row>
    <row r="158">
      <c r="B158" s="48" t="str">
        <f>IF(A158="","", SUMIFS(Transacciones[Monto], Transacciones[ID Cliente], 'Saldo a Favor'!$A158, Transacciones[Tipo de Transacción], Listas!$H$5) - SUMIFS(Transacciones[Monto], Transacciones[ID Cliente], 'Saldo a Favor'!$A158, Transacciones[Tipo de Transacción], Listas!$H$3, Transacciones[Forma de Pago], Listas!$K$6))</f>
        <v/>
      </c>
    </row>
    <row r="159">
      <c r="B159" s="48" t="str">
        <f>IF(A159="","", SUMIFS(Transacciones[Monto], Transacciones[ID Cliente], 'Saldo a Favor'!$A159, Transacciones[Tipo de Transacción], Listas!$H$5) - SUMIFS(Transacciones[Monto], Transacciones[ID Cliente], 'Saldo a Favor'!$A159, Transacciones[Tipo de Transacción], Listas!$H$3, Transacciones[Forma de Pago], Listas!$K$6))</f>
        <v/>
      </c>
    </row>
    <row r="160">
      <c r="B160" s="48" t="str">
        <f>IF(A160="","", SUMIFS(Transacciones[Monto], Transacciones[ID Cliente], 'Saldo a Favor'!$A160, Transacciones[Tipo de Transacción], Listas!$H$5) - SUMIFS(Transacciones[Monto], Transacciones[ID Cliente], 'Saldo a Favor'!$A160, Transacciones[Tipo de Transacción], Listas!$H$3, Transacciones[Forma de Pago], Listas!$K$6))</f>
        <v/>
      </c>
    </row>
    <row r="161">
      <c r="B161" s="48" t="str">
        <f>IF(A161="","", SUMIFS(Transacciones[Monto], Transacciones[ID Cliente], 'Saldo a Favor'!$A161, Transacciones[Tipo de Transacción], Listas!$H$5) - SUMIFS(Transacciones[Monto], Transacciones[ID Cliente], 'Saldo a Favor'!$A161, Transacciones[Tipo de Transacción], Listas!$H$3, Transacciones[Forma de Pago], Listas!$K$6))</f>
        <v/>
      </c>
    </row>
    <row r="162">
      <c r="B162" s="48" t="str">
        <f>IF(A162="","", SUMIFS(Transacciones[Monto], Transacciones[ID Cliente], 'Saldo a Favor'!$A162, Transacciones[Tipo de Transacción], Listas!$H$5) - SUMIFS(Transacciones[Monto], Transacciones[ID Cliente], 'Saldo a Favor'!$A162, Transacciones[Tipo de Transacción], Listas!$H$3, Transacciones[Forma de Pago], Listas!$K$6))</f>
        <v/>
      </c>
    </row>
    <row r="163">
      <c r="B163" s="48" t="str">
        <f>IF(A163="","", SUMIFS(Transacciones[Monto], Transacciones[ID Cliente], 'Saldo a Favor'!$A163, Transacciones[Tipo de Transacción], Listas!$H$5) - SUMIFS(Transacciones[Monto], Transacciones[ID Cliente], 'Saldo a Favor'!$A163, Transacciones[Tipo de Transacción], Listas!$H$3, Transacciones[Forma de Pago], Listas!$K$6))</f>
        <v/>
      </c>
    </row>
    <row r="164">
      <c r="B164" s="48" t="str">
        <f>IF(A164="","", SUMIFS(Transacciones[Monto], Transacciones[ID Cliente], 'Saldo a Favor'!$A164, Transacciones[Tipo de Transacción], Listas!$H$5) - SUMIFS(Transacciones[Monto], Transacciones[ID Cliente], 'Saldo a Favor'!$A164, Transacciones[Tipo de Transacción], Listas!$H$3, Transacciones[Forma de Pago], Listas!$K$6))</f>
        <v/>
      </c>
    </row>
    <row r="165">
      <c r="B165" s="48" t="str">
        <f>IF(A165="","", SUMIFS(Transacciones[Monto], Transacciones[ID Cliente], 'Saldo a Favor'!$A165, Transacciones[Tipo de Transacción], Listas!$H$5) - SUMIFS(Transacciones[Monto], Transacciones[ID Cliente], 'Saldo a Favor'!$A165, Transacciones[Tipo de Transacción], Listas!$H$3, Transacciones[Forma de Pago], Listas!$K$6))</f>
        <v/>
      </c>
    </row>
    <row r="166">
      <c r="B166" s="48" t="str">
        <f>IF(A166="","", SUMIFS(Transacciones[Monto], Transacciones[ID Cliente], 'Saldo a Favor'!$A166, Transacciones[Tipo de Transacción], Listas!$H$5) - SUMIFS(Transacciones[Monto], Transacciones[ID Cliente], 'Saldo a Favor'!$A166, Transacciones[Tipo de Transacción], Listas!$H$3, Transacciones[Forma de Pago], Listas!$K$6))</f>
        <v/>
      </c>
    </row>
    <row r="167">
      <c r="B167" s="48" t="str">
        <f>IF(A167="","", SUMIFS(Transacciones[Monto], Transacciones[ID Cliente], 'Saldo a Favor'!$A167, Transacciones[Tipo de Transacción], Listas!$H$5) - SUMIFS(Transacciones[Monto], Transacciones[ID Cliente], 'Saldo a Favor'!$A167, Transacciones[Tipo de Transacción], Listas!$H$3, Transacciones[Forma de Pago], Listas!$K$6))</f>
        <v/>
      </c>
    </row>
    <row r="168">
      <c r="B168" s="48" t="str">
        <f>IF(A168="","", SUMIFS(Transacciones[Monto], Transacciones[ID Cliente], 'Saldo a Favor'!$A168, Transacciones[Tipo de Transacción], Listas!$H$5) - SUMIFS(Transacciones[Monto], Transacciones[ID Cliente], 'Saldo a Favor'!$A168, Transacciones[Tipo de Transacción], Listas!$H$3, Transacciones[Forma de Pago], Listas!$K$6))</f>
        <v/>
      </c>
    </row>
    <row r="169">
      <c r="B169" s="48" t="str">
        <f>IF(A169="","", SUMIFS(Transacciones[Monto], Transacciones[ID Cliente], 'Saldo a Favor'!$A169, Transacciones[Tipo de Transacción], Listas!$H$5) - SUMIFS(Transacciones[Monto], Transacciones[ID Cliente], 'Saldo a Favor'!$A169, Transacciones[Tipo de Transacción], Listas!$H$3, Transacciones[Forma de Pago], Listas!$K$6))</f>
        <v/>
      </c>
    </row>
    <row r="170">
      <c r="B170" s="48" t="str">
        <f>IF(A170="","", SUMIFS(Transacciones[Monto], Transacciones[ID Cliente], 'Saldo a Favor'!$A170, Transacciones[Tipo de Transacción], Listas!$H$5) - SUMIFS(Transacciones[Monto], Transacciones[ID Cliente], 'Saldo a Favor'!$A170, Transacciones[Tipo de Transacción], Listas!$H$3, Transacciones[Forma de Pago], Listas!$K$6))</f>
        <v/>
      </c>
    </row>
    <row r="171">
      <c r="B171" s="48" t="str">
        <f>IF(A171="","", SUMIFS(Transacciones[Monto], Transacciones[ID Cliente], 'Saldo a Favor'!$A171, Transacciones[Tipo de Transacción], Listas!$H$5) - SUMIFS(Transacciones[Monto], Transacciones[ID Cliente], 'Saldo a Favor'!$A171, Transacciones[Tipo de Transacción], Listas!$H$3, Transacciones[Forma de Pago], Listas!$K$6))</f>
        <v/>
      </c>
    </row>
    <row r="172">
      <c r="B172" s="48" t="str">
        <f>IF(A172="","", SUMIFS(Transacciones[Monto], Transacciones[ID Cliente], 'Saldo a Favor'!$A172, Transacciones[Tipo de Transacción], Listas!$H$5) - SUMIFS(Transacciones[Monto], Transacciones[ID Cliente], 'Saldo a Favor'!$A172, Transacciones[Tipo de Transacción], Listas!$H$3, Transacciones[Forma de Pago], Listas!$K$6))</f>
        <v/>
      </c>
    </row>
    <row r="173">
      <c r="B173" s="48" t="str">
        <f>IF(A173="","", SUMIFS(Transacciones[Monto], Transacciones[ID Cliente], 'Saldo a Favor'!$A173, Transacciones[Tipo de Transacción], Listas!$H$5) - SUMIFS(Transacciones[Monto], Transacciones[ID Cliente], 'Saldo a Favor'!$A173, Transacciones[Tipo de Transacción], Listas!$H$3, Transacciones[Forma de Pago], Listas!$K$6))</f>
        <v/>
      </c>
    </row>
    <row r="174">
      <c r="B174" s="48" t="str">
        <f>IF(A174="","", SUMIFS(Transacciones[Monto], Transacciones[ID Cliente], 'Saldo a Favor'!$A174, Transacciones[Tipo de Transacción], Listas!$H$5) - SUMIFS(Transacciones[Monto], Transacciones[ID Cliente], 'Saldo a Favor'!$A174, Transacciones[Tipo de Transacción], Listas!$H$3, Transacciones[Forma de Pago], Listas!$K$6))</f>
        <v/>
      </c>
    </row>
    <row r="175">
      <c r="B175" s="48" t="str">
        <f>IF(A175="","", SUMIFS(Transacciones[Monto], Transacciones[ID Cliente], 'Saldo a Favor'!$A175, Transacciones[Tipo de Transacción], Listas!$H$5) - SUMIFS(Transacciones[Monto], Transacciones[ID Cliente], 'Saldo a Favor'!$A175, Transacciones[Tipo de Transacción], Listas!$H$3, Transacciones[Forma de Pago], Listas!$K$6))</f>
        <v/>
      </c>
    </row>
    <row r="176">
      <c r="B176" s="48" t="str">
        <f>IF(A176="","", SUMIFS(Transacciones[Monto], Transacciones[ID Cliente], 'Saldo a Favor'!$A176, Transacciones[Tipo de Transacción], Listas!$H$5) - SUMIFS(Transacciones[Monto], Transacciones[ID Cliente], 'Saldo a Favor'!$A176, Transacciones[Tipo de Transacción], Listas!$H$3, Transacciones[Forma de Pago], Listas!$K$6))</f>
        <v/>
      </c>
    </row>
    <row r="177">
      <c r="B177" s="48" t="str">
        <f>IF(A177="","", SUMIFS(Transacciones[Monto], Transacciones[ID Cliente], 'Saldo a Favor'!$A177, Transacciones[Tipo de Transacción], Listas!$H$5) - SUMIFS(Transacciones[Monto], Transacciones[ID Cliente], 'Saldo a Favor'!$A177, Transacciones[Tipo de Transacción], Listas!$H$3, Transacciones[Forma de Pago], Listas!$K$6))</f>
        <v/>
      </c>
    </row>
    <row r="178">
      <c r="B178" s="48" t="str">
        <f>IF(A178="","", SUMIFS(Transacciones[Monto], Transacciones[ID Cliente], 'Saldo a Favor'!$A178, Transacciones[Tipo de Transacción], Listas!$H$5) - SUMIFS(Transacciones[Monto], Transacciones[ID Cliente], 'Saldo a Favor'!$A178, Transacciones[Tipo de Transacción], Listas!$H$3, Transacciones[Forma de Pago], Listas!$K$6))</f>
        <v/>
      </c>
    </row>
    <row r="179">
      <c r="B179" s="48" t="str">
        <f>IF(A179="","", SUMIFS(Transacciones[Monto], Transacciones[ID Cliente], 'Saldo a Favor'!$A179, Transacciones[Tipo de Transacción], Listas!$H$5) - SUMIFS(Transacciones[Monto], Transacciones[ID Cliente], 'Saldo a Favor'!$A179, Transacciones[Tipo de Transacción], Listas!$H$3, Transacciones[Forma de Pago], Listas!$K$6))</f>
        <v/>
      </c>
    </row>
    <row r="180">
      <c r="B180" s="48" t="str">
        <f>IF(A180="","", SUMIFS(Transacciones[Monto], Transacciones[ID Cliente], 'Saldo a Favor'!$A180, Transacciones[Tipo de Transacción], Listas!$H$5) - SUMIFS(Transacciones[Monto], Transacciones[ID Cliente], 'Saldo a Favor'!$A180, Transacciones[Tipo de Transacción], Listas!$H$3, Transacciones[Forma de Pago], Listas!$K$6))</f>
        <v/>
      </c>
    </row>
    <row r="181">
      <c r="B181" s="48" t="str">
        <f>IF(A181="","", SUMIFS(Transacciones[Monto], Transacciones[ID Cliente], 'Saldo a Favor'!$A181, Transacciones[Tipo de Transacción], Listas!$H$5) - SUMIFS(Transacciones[Monto], Transacciones[ID Cliente], 'Saldo a Favor'!$A181, Transacciones[Tipo de Transacción], Listas!$H$3, Transacciones[Forma de Pago], Listas!$K$6))</f>
        <v/>
      </c>
    </row>
    <row r="182">
      <c r="B182" s="48" t="str">
        <f>IF(A182="","", SUMIFS(Transacciones[Monto], Transacciones[ID Cliente], 'Saldo a Favor'!$A182, Transacciones[Tipo de Transacción], Listas!$H$5) - SUMIFS(Transacciones[Monto], Transacciones[ID Cliente], 'Saldo a Favor'!$A182, Transacciones[Tipo de Transacción], Listas!$H$3, Transacciones[Forma de Pago], Listas!$K$6))</f>
        <v/>
      </c>
    </row>
    <row r="183">
      <c r="B183" s="48" t="str">
        <f>IF(A183="","", SUMIFS(Transacciones[Monto], Transacciones[ID Cliente], 'Saldo a Favor'!$A183, Transacciones[Tipo de Transacción], Listas!$H$5) - SUMIFS(Transacciones[Monto], Transacciones[ID Cliente], 'Saldo a Favor'!$A183, Transacciones[Tipo de Transacción], Listas!$H$3, Transacciones[Forma de Pago], Listas!$K$6))</f>
        <v/>
      </c>
    </row>
    <row r="184">
      <c r="B184" s="48" t="str">
        <f>IF(A184="","", SUMIFS(Transacciones[Monto], Transacciones[ID Cliente], 'Saldo a Favor'!$A184, Transacciones[Tipo de Transacción], Listas!$H$5) - SUMIFS(Transacciones[Monto], Transacciones[ID Cliente], 'Saldo a Favor'!$A184, Transacciones[Tipo de Transacción], Listas!$H$3, Transacciones[Forma de Pago], Listas!$K$6))</f>
        <v/>
      </c>
    </row>
    <row r="185">
      <c r="B185" s="48" t="str">
        <f>IF(A185="","", SUMIFS(Transacciones[Monto], Transacciones[ID Cliente], 'Saldo a Favor'!$A185, Transacciones[Tipo de Transacción], Listas!$H$5) - SUMIFS(Transacciones[Monto], Transacciones[ID Cliente], 'Saldo a Favor'!$A185, Transacciones[Tipo de Transacción], Listas!$H$3, Transacciones[Forma de Pago], Listas!$K$6))</f>
        <v/>
      </c>
    </row>
    <row r="186">
      <c r="B186" s="48" t="str">
        <f>IF(A186="","", SUMIFS(Transacciones[Monto], Transacciones[ID Cliente], 'Saldo a Favor'!$A186, Transacciones[Tipo de Transacción], Listas!$H$5) - SUMIFS(Transacciones[Monto], Transacciones[ID Cliente], 'Saldo a Favor'!$A186, Transacciones[Tipo de Transacción], Listas!$H$3, Transacciones[Forma de Pago], Listas!$K$6))</f>
        <v/>
      </c>
    </row>
    <row r="187">
      <c r="B187" s="48" t="str">
        <f>IF(A187="","", SUMIFS(Transacciones[Monto], Transacciones[ID Cliente], 'Saldo a Favor'!$A187, Transacciones[Tipo de Transacción], Listas!$H$5) - SUMIFS(Transacciones[Monto], Transacciones[ID Cliente], 'Saldo a Favor'!$A187, Transacciones[Tipo de Transacción], Listas!$H$3, Transacciones[Forma de Pago], Listas!$K$6))</f>
        <v/>
      </c>
    </row>
    <row r="188">
      <c r="B188" s="48" t="str">
        <f>IF(A188="","", SUMIFS(Transacciones[Monto], Transacciones[ID Cliente], 'Saldo a Favor'!$A188, Transacciones[Tipo de Transacción], Listas!$H$5) - SUMIFS(Transacciones[Monto], Transacciones[ID Cliente], 'Saldo a Favor'!$A188, Transacciones[Tipo de Transacción], Listas!$H$3, Transacciones[Forma de Pago], Listas!$K$6))</f>
        <v/>
      </c>
    </row>
    <row r="189">
      <c r="B189" s="48" t="str">
        <f>IF(A189="","", SUMIFS(Transacciones[Monto], Transacciones[ID Cliente], 'Saldo a Favor'!$A189, Transacciones[Tipo de Transacción], Listas!$H$5) - SUMIFS(Transacciones[Monto], Transacciones[ID Cliente], 'Saldo a Favor'!$A189, Transacciones[Tipo de Transacción], Listas!$H$3, Transacciones[Forma de Pago], Listas!$K$6))</f>
        <v/>
      </c>
    </row>
    <row r="190">
      <c r="B190" s="48" t="str">
        <f>IF(A190="","", SUMIFS(Transacciones[Monto], Transacciones[ID Cliente], 'Saldo a Favor'!$A190, Transacciones[Tipo de Transacción], Listas!$H$5) - SUMIFS(Transacciones[Monto], Transacciones[ID Cliente], 'Saldo a Favor'!$A190, Transacciones[Tipo de Transacción], Listas!$H$3, Transacciones[Forma de Pago], Listas!$K$6))</f>
        <v/>
      </c>
    </row>
    <row r="191">
      <c r="B191" s="48" t="str">
        <f>IF(A191="","", SUMIFS(Transacciones[Monto], Transacciones[ID Cliente], 'Saldo a Favor'!$A191, Transacciones[Tipo de Transacción], Listas!$H$5) - SUMIFS(Transacciones[Monto], Transacciones[ID Cliente], 'Saldo a Favor'!$A191, Transacciones[Tipo de Transacción], Listas!$H$3, Transacciones[Forma de Pago], Listas!$K$6))</f>
        <v/>
      </c>
    </row>
    <row r="192">
      <c r="B192" s="48" t="str">
        <f>IF(A192="","", SUMIFS(Transacciones[Monto], Transacciones[ID Cliente], 'Saldo a Favor'!$A192, Transacciones[Tipo de Transacción], Listas!$H$5) - SUMIFS(Transacciones[Monto], Transacciones[ID Cliente], 'Saldo a Favor'!$A192, Transacciones[Tipo de Transacción], Listas!$H$3, Transacciones[Forma de Pago], Listas!$K$6))</f>
        <v/>
      </c>
    </row>
    <row r="193">
      <c r="B193" s="48" t="str">
        <f>IF(A193="","", SUMIFS(Transacciones[Monto], Transacciones[ID Cliente], 'Saldo a Favor'!$A193, Transacciones[Tipo de Transacción], Listas!$H$5) - SUMIFS(Transacciones[Monto], Transacciones[ID Cliente], 'Saldo a Favor'!$A193, Transacciones[Tipo de Transacción], Listas!$H$3, Transacciones[Forma de Pago], Listas!$K$6))</f>
        <v/>
      </c>
    </row>
    <row r="194">
      <c r="B194" s="48" t="str">
        <f>IF(A194="","", SUMIFS(Transacciones[Monto], Transacciones[ID Cliente], 'Saldo a Favor'!$A194, Transacciones[Tipo de Transacción], Listas!$H$5) - SUMIFS(Transacciones[Monto], Transacciones[ID Cliente], 'Saldo a Favor'!$A194, Transacciones[Tipo de Transacción], Listas!$H$3, Transacciones[Forma de Pago], Listas!$K$6))</f>
        <v/>
      </c>
    </row>
    <row r="195">
      <c r="B195" s="48" t="str">
        <f>IF(A195="","", SUMIFS(Transacciones[Monto], Transacciones[ID Cliente], 'Saldo a Favor'!$A195, Transacciones[Tipo de Transacción], Listas!$H$5) - SUMIFS(Transacciones[Monto], Transacciones[ID Cliente], 'Saldo a Favor'!$A195, Transacciones[Tipo de Transacción], Listas!$H$3, Transacciones[Forma de Pago], Listas!$K$6))</f>
        <v/>
      </c>
    </row>
    <row r="196">
      <c r="B196" s="48" t="str">
        <f>IF(A196="","", SUMIFS(Transacciones[Monto], Transacciones[ID Cliente], 'Saldo a Favor'!$A196, Transacciones[Tipo de Transacción], Listas!$H$5) - SUMIFS(Transacciones[Monto], Transacciones[ID Cliente], 'Saldo a Favor'!$A196, Transacciones[Tipo de Transacción], Listas!$H$3, Transacciones[Forma de Pago], Listas!$K$6))</f>
        <v/>
      </c>
    </row>
    <row r="197">
      <c r="B197" s="48" t="str">
        <f>IF(A197="","", SUMIFS(Transacciones[Monto], Transacciones[ID Cliente], 'Saldo a Favor'!$A197, Transacciones[Tipo de Transacción], Listas!$H$5) - SUMIFS(Transacciones[Monto], Transacciones[ID Cliente], 'Saldo a Favor'!$A197, Transacciones[Tipo de Transacción], Listas!$H$3, Transacciones[Forma de Pago], Listas!$K$6))</f>
        <v/>
      </c>
    </row>
    <row r="198">
      <c r="B198" s="48" t="str">
        <f>IF(A198="","", SUMIFS(Transacciones[Monto], Transacciones[ID Cliente], 'Saldo a Favor'!$A198, Transacciones[Tipo de Transacción], Listas!$H$5) - SUMIFS(Transacciones[Monto], Transacciones[ID Cliente], 'Saldo a Favor'!$A198, Transacciones[Tipo de Transacción], Listas!$H$3, Transacciones[Forma de Pago], Listas!$K$6))</f>
        <v/>
      </c>
    </row>
    <row r="199">
      <c r="B199" s="48" t="str">
        <f>IF(A199="","", SUMIFS(Transacciones[Monto], Transacciones[ID Cliente], 'Saldo a Favor'!$A199, Transacciones[Tipo de Transacción], Listas!$H$5) - SUMIFS(Transacciones[Monto], Transacciones[ID Cliente], 'Saldo a Favor'!$A199, Transacciones[Tipo de Transacción], Listas!$H$3, Transacciones[Forma de Pago], Listas!$K$6))</f>
        <v/>
      </c>
    </row>
    <row r="200">
      <c r="B200" s="48" t="str">
        <f>IF(A200="","", SUMIFS(Transacciones[Monto], Transacciones[ID Cliente], 'Saldo a Favor'!$A200, Transacciones[Tipo de Transacción], Listas!$H$5) - SUMIFS(Transacciones[Monto], Transacciones[ID Cliente], 'Saldo a Favor'!$A200, Transacciones[Tipo de Transacción], Listas!$H$3, Transacciones[Forma de Pago], Listas!$K$6))</f>
        <v/>
      </c>
    </row>
    <row r="201">
      <c r="B201" s="48" t="str">
        <f>IF(A201="","", SUMIFS(Transacciones[Monto], Transacciones[ID Cliente], 'Saldo a Favor'!$A201, Transacciones[Tipo de Transacción], Listas!$H$5) - SUMIFS(Transacciones[Monto], Transacciones[ID Cliente], 'Saldo a Favor'!$A201, Transacciones[Tipo de Transacción], Listas!$H$3, Transacciones[Forma de Pago], Listas!$K$6))</f>
        <v/>
      </c>
    </row>
    <row r="202">
      <c r="B202" s="48" t="str">
        <f>IF(A202="","", SUMIFS(Transacciones[Monto], Transacciones[ID Cliente], 'Saldo a Favor'!$A202, Transacciones[Tipo de Transacción], Listas!$H$5) - SUMIFS(Transacciones[Monto], Transacciones[ID Cliente], 'Saldo a Favor'!$A202, Transacciones[Tipo de Transacción], Listas!$H$3, Transacciones[Forma de Pago], Listas!$K$6))</f>
        <v/>
      </c>
    </row>
    <row r="203">
      <c r="B203" s="48" t="str">
        <f>IF(A203="","", SUMIFS(Transacciones[Monto], Transacciones[ID Cliente], 'Saldo a Favor'!$A203, Transacciones[Tipo de Transacción], Listas!$H$5) - SUMIFS(Transacciones[Monto], Transacciones[ID Cliente], 'Saldo a Favor'!$A203, Transacciones[Tipo de Transacción], Listas!$H$3, Transacciones[Forma de Pago], Listas!$K$6))</f>
        <v/>
      </c>
    </row>
    <row r="204">
      <c r="B204" s="48" t="str">
        <f>IF(A204="","", SUMIFS(Transacciones[Monto], Transacciones[ID Cliente], 'Saldo a Favor'!$A204, Transacciones[Tipo de Transacción], Listas!$H$5) - SUMIFS(Transacciones[Monto], Transacciones[ID Cliente], 'Saldo a Favor'!$A204, Transacciones[Tipo de Transacción], Listas!$H$3, Transacciones[Forma de Pago], Listas!$K$6))</f>
        <v/>
      </c>
    </row>
    <row r="205">
      <c r="B205" s="48" t="str">
        <f>IF(A205="","", SUMIFS(Transacciones[Monto], Transacciones[ID Cliente], 'Saldo a Favor'!$A205, Transacciones[Tipo de Transacción], Listas!$H$5) - SUMIFS(Transacciones[Monto], Transacciones[ID Cliente], 'Saldo a Favor'!$A205, Transacciones[Tipo de Transacción], Listas!$H$3, Transacciones[Forma de Pago], Listas!$K$6))</f>
        <v/>
      </c>
    </row>
    <row r="206">
      <c r="B206" s="48" t="str">
        <f>IF(A206="","", SUMIFS(Transacciones[Monto], Transacciones[ID Cliente], 'Saldo a Favor'!$A206, Transacciones[Tipo de Transacción], Listas!$H$5) - SUMIFS(Transacciones[Monto], Transacciones[ID Cliente], 'Saldo a Favor'!$A206, Transacciones[Tipo de Transacción], Listas!$H$3, Transacciones[Forma de Pago], Listas!$K$6))</f>
        <v/>
      </c>
    </row>
    <row r="207">
      <c r="B207" s="48" t="str">
        <f>IF(A207="","", SUMIFS(Transacciones[Monto], Transacciones[ID Cliente], 'Saldo a Favor'!$A207, Transacciones[Tipo de Transacción], Listas!$H$5) - SUMIFS(Transacciones[Monto], Transacciones[ID Cliente], 'Saldo a Favor'!$A207, Transacciones[Tipo de Transacción], Listas!$H$3, Transacciones[Forma de Pago], Listas!$K$6))</f>
        <v/>
      </c>
    </row>
    <row r="208">
      <c r="B208" s="48" t="str">
        <f>IF(A208="","", SUMIFS(Transacciones[Monto], Transacciones[ID Cliente], 'Saldo a Favor'!$A208, Transacciones[Tipo de Transacción], Listas!$H$5) - SUMIFS(Transacciones[Monto], Transacciones[ID Cliente], 'Saldo a Favor'!$A208, Transacciones[Tipo de Transacción], Listas!$H$3, Transacciones[Forma de Pago], Listas!$K$6))</f>
        <v/>
      </c>
    </row>
    <row r="209">
      <c r="B209" s="48" t="str">
        <f>IF(A209="","", SUMIFS(Transacciones[Monto], Transacciones[ID Cliente], 'Saldo a Favor'!$A209, Transacciones[Tipo de Transacción], Listas!$H$5) - SUMIFS(Transacciones[Monto], Transacciones[ID Cliente], 'Saldo a Favor'!$A209, Transacciones[Tipo de Transacción], Listas!$H$3, Transacciones[Forma de Pago], Listas!$K$6))</f>
        <v/>
      </c>
    </row>
    <row r="210">
      <c r="B210" s="48" t="str">
        <f>IF(A210="","", SUMIFS(Transacciones[Monto], Transacciones[ID Cliente], 'Saldo a Favor'!$A210, Transacciones[Tipo de Transacción], Listas!$H$5) - SUMIFS(Transacciones[Monto], Transacciones[ID Cliente], 'Saldo a Favor'!$A210, Transacciones[Tipo de Transacción], Listas!$H$3, Transacciones[Forma de Pago], Listas!$K$6))</f>
        <v/>
      </c>
    </row>
    <row r="211">
      <c r="B211" s="48" t="str">
        <f>IF(A211="","", SUMIFS(Transacciones[Monto], Transacciones[ID Cliente], 'Saldo a Favor'!$A211, Transacciones[Tipo de Transacción], Listas!$H$5) - SUMIFS(Transacciones[Monto], Transacciones[ID Cliente], 'Saldo a Favor'!$A211, Transacciones[Tipo de Transacción], Listas!$H$3, Transacciones[Forma de Pago], Listas!$K$6))</f>
        <v/>
      </c>
    </row>
    <row r="212">
      <c r="B212" s="48" t="str">
        <f>IF(A212="","", SUMIFS(Transacciones[Monto], Transacciones[ID Cliente], 'Saldo a Favor'!$A212, Transacciones[Tipo de Transacción], Listas!$H$5) - SUMIFS(Transacciones[Monto], Transacciones[ID Cliente], 'Saldo a Favor'!$A212, Transacciones[Tipo de Transacción], Listas!$H$3, Transacciones[Forma de Pago], Listas!$K$6))</f>
        <v/>
      </c>
    </row>
    <row r="213">
      <c r="B213" s="48" t="str">
        <f>IF(A213="","", SUMIFS(Transacciones[Monto], Transacciones[ID Cliente], 'Saldo a Favor'!$A213, Transacciones[Tipo de Transacción], Listas!$H$5) - SUMIFS(Transacciones[Monto], Transacciones[ID Cliente], 'Saldo a Favor'!$A213, Transacciones[Tipo de Transacción], Listas!$H$3, Transacciones[Forma de Pago], Listas!$K$6))</f>
        <v/>
      </c>
    </row>
    <row r="214">
      <c r="B214" s="48" t="str">
        <f>IF(A214="","", SUMIFS(Transacciones[Monto], Transacciones[ID Cliente], 'Saldo a Favor'!$A214, Transacciones[Tipo de Transacción], Listas!$H$5) - SUMIFS(Transacciones[Monto], Transacciones[ID Cliente], 'Saldo a Favor'!$A214, Transacciones[Tipo de Transacción], Listas!$H$3, Transacciones[Forma de Pago], Listas!$K$6))</f>
        <v/>
      </c>
    </row>
    <row r="215">
      <c r="B215" s="48" t="str">
        <f>IF(A215="","", SUMIFS(Transacciones[Monto], Transacciones[ID Cliente], 'Saldo a Favor'!$A215, Transacciones[Tipo de Transacción], Listas!$H$5) - SUMIFS(Transacciones[Monto], Transacciones[ID Cliente], 'Saldo a Favor'!$A215, Transacciones[Tipo de Transacción], Listas!$H$3, Transacciones[Forma de Pago], Listas!$K$6))</f>
        <v/>
      </c>
    </row>
    <row r="216">
      <c r="B216" s="48" t="str">
        <f>IF(A216="","", SUMIFS(Transacciones[Monto], Transacciones[ID Cliente], 'Saldo a Favor'!$A216, Transacciones[Tipo de Transacción], Listas!$H$5) - SUMIFS(Transacciones[Monto], Transacciones[ID Cliente], 'Saldo a Favor'!$A216, Transacciones[Tipo de Transacción], Listas!$H$3, Transacciones[Forma de Pago], Listas!$K$6))</f>
        <v/>
      </c>
    </row>
    <row r="217">
      <c r="B217" s="48" t="str">
        <f>IF(A217="","", SUMIFS(Transacciones[Monto], Transacciones[ID Cliente], 'Saldo a Favor'!$A217, Transacciones[Tipo de Transacción], Listas!$H$5) - SUMIFS(Transacciones[Monto], Transacciones[ID Cliente], 'Saldo a Favor'!$A217, Transacciones[Tipo de Transacción], Listas!$H$3, Transacciones[Forma de Pago], Listas!$K$6))</f>
        <v/>
      </c>
    </row>
    <row r="218">
      <c r="B218" s="48" t="str">
        <f>IF(A218="","", SUMIFS(Transacciones[Monto], Transacciones[ID Cliente], 'Saldo a Favor'!$A218, Transacciones[Tipo de Transacción], Listas!$H$5) - SUMIFS(Transacciones[Monto], Transacciones[ID Cliente], 'Saldo a Favor'!$A218, Transacciones[Tipo de Transacción], Listas!$H$3, Transacciones[Forma de Pago], Listas!$K$6))</f>
        <v/>
      </c>
    </row>
    <row r="219">
      <c r="B219" s="48" t="str">
        <f>IF(A219="","", SUMIFS(Transacciones[Monto], Transacciones[ID Cliente], 'Saldo a Favor'!$A219, Transacciones[Tipo de Transacción], Listas!$H$5) - SUMIFS(Transacciones[Monto], Transacciones[ID Cliente], 'Saldo a Favor'!$A219, Transacciones[Tipo de Transacción], Listas!$H$3, Transacciones[Forma de Pago], Listas!$K$6))</f>
        <v/>
      </c>
    </row>
    <row r="220">
      <c r="B220" s="48" t="str">
        <f>IF(A220="","", SUMIFS(Transacciones[Monto], Transacciones[ID Cliente], 'Saldo a Favor'!$A220, Transacciones[Tipo de Transacción], Listas!$H$5) - SUMIFS(Transacciones[Monto], Transacciones[ID Cliente], 'Saldo a Favor'!$A220, Transacciones[Tipo de Transacción], Listas!$H$3, Transacciones[Forma de Pago], Listas!$K$6))</f>
        <v/>
      </c>
    </row>
    <row r="221">
      <c r="B221" s="48" t="str">
        <f>IF(A221="","", SUMIFS(Transacciones[Monto], Transacciones[ID Cliente], 'Saldo a Favor'!$A221, Transacciones[Tipo de Transacción], Listas!$H$5) - SUMIFS(Transacciones[Monto], Transacciones[ID Cliente], 'Saldo a Favor'!$A221, Transacciones[Tipo de Transacción], Listas!$H$3, Transacciones[Forma de Pago], Listas!$K$6))</f>
        <v/>
      </c>
    </row>
    <row r="222">
      <c r="B222" s="48" t="str">
        <f>IF(A222="","", SUMIFS(Transacciones[Monto], Transacciones[ID Cliente], 'Saldo a Favor'!$A222, Transacciones[Tipo de Transacción], Listas!$H$5) - SUMIFS(Transacciones[Monto], Transacciones[ID Cliente], 'Saldo a Favor'!$A222, Transacciones[Tipo de Transacción], Listas!$H$3, Transacciones[Forma de Pago], Listas!$K$6))</f>
        <v/>
      </c>
    </row>
    <row r="223">
      <c r="B223" s="48" t="str">
        <f>IF(A223="","", SUMIFS(Transacciones[Monto], Transacciones[ID Cliente], 'Saldo a Favor'!$A223, Transacciones[Tipo de Transacción], Listas!$H$5) - SUMIFS(Transacciones[Monto], Transacciones[ID Cliente], 'Saldo a Favor'!$A223, Transacciones[Tipo de Transacción], Listas!$H$3, Transacciones[Forma de Pago], Listas!$K$6))</f>
        <v/>
      </c>
    </row>
    <row r="224">
      <c r="B224" s="48" t="str">
        <f>IF(A224="","", SUMIFS(Transacciones[Monto], Transacciones[ID Cliente], 'Saldo a Favor'!$A224, Transacciones[Tipo de Transacción], Listas!$H$5) - SUMIFS(Transacciones[Monto], Transacciones[ID Cliente], 'Saldo a Favor'!$A224, Transacciones[Tipo de Transacción], Listas!$H$3, Transacciones[Forma de Pago], Listas!$K$6))</f>
        <v/>
      </c>
    </row>
    <row r="225">
      <c r="B225" s="48" t="str">
        <f>IF(A225="","", SUMIFS(Transacciones[Monto], Transacciones[ID Cliente], 'Saldo a Favor'!$A225, Transacciones[Tipo de Transacción], Listas!$H$5) - SUMIFS(Transacciones[Monto], Transacciones[ID Cliente], 'Saldo a Favor'!$A225, Transacciones[Tipo de Transacción], Listas!$H$3, Transacciones[Forma de Pago], Listas!$K$6))</f>
        <v/>
      </c>
    </row>
    <row r="226">
      <c r="B226" s="48" t="str">
        <f>IF(A226="","", SUMIFS(Transacciones[Monto], Transacciones[ID Cliente], 'Saldo a Favor'!$A226, Transacciones[Tipo de Transacción], Listas!$H$5) - SUMIFS(Transacciones[Monto], Transacciones[ID Cliente], 'Saldo a Favor'!$A226, Transacciones[Tipo de Transacción], Listas!$H$3, Transacciones[Forma de Pago], Listas!$K$6))</f>
        <v/>
      </c>
    </row>
    <row r="227">
      <c r="B227" s="48" t="str">
        <f>IF(A227="","", SUMIFS(Transacciones[Monto], Transacciones[ID Cliente], 'Saldo a Favor'!$A227, Transacciones[Tipo de Transacción], Listas!$H$5) - SUMIFS(Transacciones[Monto], Transacciones[ID Cliente], 'Saldo a Favor'!$A227, Transacciones[Tipo de Transacción], Listas!$H$3, Transacciones[Forma de Pago], Listas!$K$6))</f>
        <v/>
      </c>
    </row>
    <row r="228">
      <c r="B228" s="48" t="str">
        <f>IF(A228="","", SUMIFS(Transacciones[Monto], Transacciones[ID Cliente], 'Saldo a Favor'!$A228, Transacciones[Tipo de Transacción], Listas!$H$5) - SUMIFS(Transacciones[Monto], Transacciones[ID Cliente], 'Saldo a Favor'!$A228, Transacciones[Tipo de Transacción], Listas!$H$3, Transacciones[Forma de Pago], Listas!$K$6))</f>
        <v/>
      </c>
    </row>
    <row r="229">
      <c r="B229" s="48" t="str">
        <f>IF(A229="","", SUMIFS(Transacciones[Monto], Transacciones[ID Cliente], 'Saldo a Favor'!$A229, Transacciones[Tipo de Transacción], Listas!$H$5) - SUMIFS(Transacciones[Monto], Transacciones[ID Cliente], 'Saldo a Favor'!$A229, Transacciones[Tipo de Transacción], Listas!$H$3, Transacciones[Forma de Pago], Listas!$K$6))</f>
        <v/>
      </c>
    </row>
    <row r="230">
      <c r="B230" s="48" t="str">
        <f>IF(A230="","", SUMIFS(Transacciones[Monto], Transacciones[ID Cliente], 'Saldo a Favor'!$A230, Transacciones[Tipo de Transacción], Listas!$H$5) - SUMIFS(Transacciones[Monto], Transacciones[ID Cliente], 'Saldo a Favor'!$A230, Transacciones[Tipo de Transacción], Listas!$H$3, Transacciones[Forma de Pago], Listas!$K$6))</f>
        <v/>
      </c>
    </row>
    <row r="231">
      <c r="B231" s="48" t="str">
        <f>IF(A231="","", SUMIFS(Transacciones[Monto], Transacciones[ID Cliente], 'Saldo a Favor'!$A231, Transacciones[Tipo de Transacción], Listas!$H$5) - SUMIFS(Transacciones[Monto], Transacciones[ID Cliente], 'Saldo a Favor'!$A231, Transacciones[Tipo de Transacción], Listas!$H$3, Transacciones[Forma de Pago], Listas!$K$6))</f>
        <v/>
      </c>
    </row>
    <row r="232">
      <c r="B232" s="48" t="str">
        <f>IF(A232="","", SUMIFS(Transacciones[Monto], Transacciones[ID Cliente], 'Saldo a Favor'!$A232, Transacciones[Tipo de Transacción], Listas!$H$5) - SUMIFS(Transacciones[Monto], Transacciones[ID Cliente], 'Saldo a Favor'!$A232, Transacciones[Tipo de Transacción], Listas!$H$3, Transacciones[Forma de Pago], Listas!$K$6))</f>
        <v/>
      </c>
    </row>
    <row r="233">
      <c r="B233" s="48" t="str">
        <f>IF(A233="","", SUMIFS(Transacciones[Monto], Transacciones[ID Cliente], 'Saldo a Favor'!$A233, Transacciones[Tipo de Transacción], Listas!$H$5) - SUMIFS(Transacciones[Monto], Transacciones[ID Cliente], 'Saldo a Favor'!$A233, Transacciones[Tipo de Transacción], Listas!$H$3, Transacciones[Forma de Pago], Listas!$K$6))</f>
        <v/>
      </c>
    </row>
    <row r="234">
      <c r="B234" s="48" t="str">
        <f>IF(A234="","", SUMIFS(Transacciones[Monto], Transacciones[ID Cliente], 'Saldo a Favor'!$A234, Transacciones[Tipo de Transacción], Listas!$H$5) - SUMIFS(Transacciones[Monto], Transacciones[ID Cliente], 'Saldo a Favor'!$A234, Transacciones[Tipo de Transacción], Listas!$H$3, Transacciones[Forma de Pago], Listas!$K$6))</f>
        <v/>
      </c>
    </row>
    <row r="235">
      <c r="B235" s="48" t="str">
        <f>IF(A235="","", SUMIFS(Transacciones[Monto], Transacciones[ID Cliente], 'Saldo a Favor'!$A235, Transacciones[Tipo de Transacción], Listas!$H$5) - SUMIFS(Transacciones[Monto], Transacciones[ID Cliente], 'Saldo a Favor'!$A235, Transacciones[Tipo de Transacción], Listas!$H$3, Transacciones[Forma de Pago], Listas!$K$6))</f>
        <v/>
      </c>
    </row>
    <row r="236">
      <c r="B236" s="48" t="str">
        <f>IF(A236="","", SUMIFS(Transacciones[Monto], Transacciones[ID Cliente], 'Saldo a Favor'!$A236, Transacciones[Tipo de Transacción], Listas!$H$5) - SUMIFS(Transacciones[Monto], Transacciones[ID Cliente], 'Saldo a Favor'!$A236, Transacciones[Tipo de Transacción], Listas!$H$3, Transacciones[Forma de Pago], Listas!$K$6))</f>
        <v/>
      </c>
    </row>
    <row r="237">
      <c r="B237" s="48" t="str">
        <f>IF(A237="","", SUMIFS(Transacciones[Monto], Transacciones[ID Cliente], 'Saldo a Favor'!$A237, Transacciones[Tipo de Transacción], Listas!$H$5) - SUMIFS(Transacciones[Monto], Transacciones[ID Cliente], 'Saldo a Favor'!$A237, Transacciones[Tipo de Transacción], Listas!$H$3, Transacciones[Forma de Pago], Listas!$K$6))</f>
        <v/>
      </c>
    </row>
    <row r="238">
      <c r="B238" s="48" t="str">
        <f>IF(A238="","", SUMIFS(Transacciones[Monto], Transacciones[ID Cliente], 'Saldo a Favor'!$A238, Transacciones[Tipo de Transacción], Listas!$H$5) - SUMIFS(Transacciones[Monto], Transacciones[ID Cliente], 'Saldo a Favor'!$A238, Transacciones[Tipo de Transacción], Listas!$H$3, Transacciones[Forma de Pago], Listas!$K$6))</f>
        <v/>
      </c>
    </row>
    <row r="239">
      <c r="B239" s="48" t="str">
        <f>IF(A239="","", SUMIFS(Transacciones[Monto], Transacciones[ID Cliente], 'Saldo a Favor'!$A239, Transacciones[Tipo de Transacción], Listas!$H$5) - SUMIFS(Transacciones[Monto], Transacciones[ID Cliente], 'Saldo a Favor'!$A239, Transacciones[Tipo de Transacción], Listas!$H$3, Transacciones[Forma de Pago], Listas!$K$6))</f>
        <v/>
      </c>
    </row>
    <row r="240">
      <c r="B240" s="48" t="str">
        <f>IF(A240="","", SUMIFS(Transacciones[Monto], Transacciones[ID Cliente], 'Saldo a Favor'!$A240, Transacciones[Tipo de Transacción], Listas!$H$5) - SUMIFS(Transacciones[Monto], Transacciones[ID Cliente], 'Saldo a Favor'!$A240, Transacciones[Tipo de Transacción], Listas!$H$3, Transacciones[Forma de Pago], Listas!$K$6))</f>
        <v/>
      </c>
    </row>
    <row r="241">
      <c r="B241" s="48" t="str">
        <f>IF(A241="","", SUMIFS(Transacciones[Monto], Transacciones[ID Cliente], 'Saldo a Favor'!$A241, Transacciones[Tipo de Transacción], Listas!$H$5) - SUMIFS(Transacciones[Monto], Transacciones[ID Cliente], 'Saldo a Favor'!$A241, Transacciones[Tipo de Transacción], Listas!$H$3, Transacciones[Forma de Pago], Listas!$K$6))</f>
        <v/>
      </c>
    </row>
    <row r="242">
      <c r="B242" s="48" t="str">
        <f>IF(A242="","", SUMIFS(Transacciones[Monto], Transacciones[ID Cliente], 'Saldo a Favor'!$A242, Transacciones[Tipo de Transacción], Listas!$H$5) - SUMIFS(Transacciones[Monto], Transacciones[ID Cliente], 'Saldo a Favor'!$A242, Transacciones[Tipo de Transacción], Listas!$H$3, Transacciones[Forma de Pago], Listas!$K$6))</f>
        <v/>
      </c>
    </row>
    <row r="243">
      <c r="B243" s="48" t="str">
        <f>IF(A243="","", SUMIFS(Transacciones[Monto], Transacciones[ID Cliente], 'Saldo a Favor'!$A243, Transacciones[Tipo de Transacción], Listas!$H$5) - SUMIFS(Transacciones[Monto], Transacciones[ID Cliente], 'Saldo a Favor'!$A243, Transacciones[Tipo de Transacción], Listas!$H$3, Transacciones[Forma de Pago], Listas!$K$6))</f>
        <v/>
      </c>
    </row>
    <row r="244">
      <c r="B244" s="48" t="str">
        <f>IF(A244="","", SUMIFS(Transacciones[Monto], Transacciones[ID Cliente], 'Saldo a Favor'!$A244, Transacciones[Tipo de Transacción], Listas!$H$5) - SUMIFS(Transacciones[Monto], Transacciones[ID Cliente], 'Saldo a Favor'!$A244, Transacciones[Tipo de Transacción], Listas!$H$3, Transacciones[Forma de Pago], Listas!$K$6))</f>
        <v/>
      </c>
    </row>
    <row r="245">
      <c r="B245" s="48" t="str">
        <f>IF(A245="","", SUMIFS(Transacciones[Monto], Transacciones[ID Cliente], 'Saldo a Favor'!$A245, Transacciones[Tipo de Transacción], Listas!$H$5) - SUMIFS(Transacciones[Monto], Transacciones[ID Cliente], 'Saldo a Favor'!$A245, Transacciones[Tipo de Transacción], Listas!$H$3, Transacciones[Forma de Pago], Listas!$K$6))</f>
        <v/>
      </c>
    </row>
    <row r="246">
      <c r="B246" s="48" t="str">
        <f>IF(A246="","", SUMIFS(Transacciones[Monto], Transacciones[ID Cliente], 'Saldo a Favor'!$A246, Transacciones[Tipo de Transacción], Listas!$H$5) - SUMIFS(Transacciones[Monto], Transacciones[ID Cliente], 'Saldo a Favor'!$A246, Transacciones[Tipo de Transacción], Listas!$H$3, Transacciones[Forma de Pago], Listas!$K$6))</f>
        <v/>
      </c>
    </row>
    <row r="247">
      <c r="B247" s="48" t="str">
        <f>IF(A247="","", SUMIFS(Transacciones[Monto], Transacciones[ID Cliente], 'Saldo a Favor'!$A247, Transacciones[Tipo de Transacción], Listas!$H$5) - SUMIFS(Transacciones[Monto], Transacciones[ID Cliente], 'Saldo a Favor'!$A247, Transacciones[Tipo de Transacción], Listas!$H$3, Transacciones[Forma de Pago], Listas!$K$6))</f>
        <v/>
      </c>
    </row>
    <row r="248">
      <c r="B248" s="48" t="str">
        <f>IF(A248="","", SUMIFS(Transacciones[Monto], Transacciones[ID Cliente], 'Saldo a Favor'!$A248, Transacciones[Tipo de Transacción], Listas!$H$5) - SUMIFS(Transacciones[Monto], Transacciones[ID Cliente], 'Saldo a Favor'!$A248, Transacciones[Tipo de Transacción], Listas!$H$3, Transacciones[Forma de Pago], Listas!$K$6))</f>
        <v/>
      </c>
    </row>
    <row r="249">
      <c r="B249" s="48" t="str">
        <f>IF(A249="","", SUMIFS(Transacciones[Monto], Transacciones[ID Cliente], 'Saldo a Favor'!$A249, Transacciones[Tipo de Transacción], Listas!$H$5) - SUMIFS(Transacciones[Monto], Transacciones[ID Cliente], 'Saldo a Favor'!$A249, Transacciones[Tipo de Transacción], Listas!$H$3, Transacciones[Forma de Pago], Listas!$K$6))</f>
        <v/>
      </c>
    </row>
    <row r="250">
      <c r="B250" s="48" t="str">
        <f>IF(A250="","", SUMIFS(Transacciones[Monto], Transacciones[ID Cliente], 'Saldo a Favor'!$A250, Transacciones[Tipo de Transacción], Listas!$H$5) - SUMIFS(Transacciones[Monto], Transacciones[ID Cliente], 'Saldo a Favor'!$A250, Transacciones[Tipo de Transacción], Listas!$H$3, Transacciones[Forma de Pago], Listas!$K$6))</f>
        <v/>
      </c>
    </row>
    <row r="251">
      <c r="B251" s="48" t="str">
        <f>IF(A251="","", SUMIFS(Transacciones[Monto], Transacciones[ID Cliente], 'Saldo a Favor'!$A251, Transacciones[Tipo de Transacción], Listas!$H$5) - SUMIFS(Transacciones[Monto], Transacciones[ID Cliente], 'Saldo a Favor'!$A251, Transacciones[Tipo de Transacción], Listas!$H$3, Transacciones[Forma de Pago], Listas!$K$6))</f>
        <v/>
      </c>
    </row>
    <row r="252">
      <c r="B252" s="48" t="str">
        <f>IF(A252="","", SUMIFS(Transacciones[Monto], Transacciones[ID Cliente], 'Saldo a Favor'!$A252, Transacciones[Tipo de Transacción], Listas!$H$5) - SUMIFS(Transacciones[Monto], Transacciones[ID Cliente], 'Saldo a Favor'!$A252, Transacciones[Tipo de Transacción], Listas!$H$3, Transacciones[Forma de Pago], Listas!$K$6))</f>
        <v/>
      </c>
    </row>
    <row r="253">
      <c r="B253" s="48" t="str">
        <f>IF(A253="","", SUMIFS(Transacciones[Monto], Transacciones[ID Cliente], 'Saldo a Favor'!$A253, Transacciones[Tipo de Transacción], Listas!$H$5) - SUMIFS(Transacciones[Monto], Transacciones[ID Cliente], 'Saldo a Favor'!$A253, Transacciones[Tipo de Transacción], Listas!$H$3, Transacciones[Forma de Pago], Listas!$K$6))</f>
        <v/>
      </c>
    </row>
    <row r="254">
      <c r="B254" s="48" t="str">
        <f>IF(A254="","", SUMIFS(Transacciones[Monto], Transacciones[ID Cliente], 'Saldo a Favor'!$A254, Transacciones[Tipo de Transacción], Listas!$H$5) - SUMIFS(Transacciones[Monto], Transacciones[ID Cliente], 'Saldo a Favor'!$A254, Transacciones[Tipo de Transacción], Listas!$H$3, Transacciones[Forma de Pago], Listas!$K$6))</f>
        <v/>
      </c>
    </row>
    <row r="255">
      <c r="B255" s="48" t="str">
        <f>IF(A255="","", SUMIFS(Transacciones[Monto], Transacciones[ID Cliente], 'Saldo a Favor'!$A255, Transacciones[Tipo de Transacción], Listas!$H$5) - SUMIFS(Transacciones[Monto], Transacciones[ID Cliente], 'Saldo a Favor'!$A255, Transacciones[Tipo de Transacción], Listas!$H$3, Transacciones[Forma de Pago], Listas!$K$6))</f>
        <v/>
      </c>
    </row>
    <row r="256">
      <c r="B256" s="48" t="str">
        <f>IF(A256="","", SUMIFS(Transacciones[Monto], Transacciones[ID Cliente], 'Saldo a Favor'!$A256, Transacciones[Tipo de Transacción], Listas!$H$5) - SUMIFS(Transacciones[Monto], Transacciones[ID Cliente], 'Saldo a Favor'!$A256, Transacciones[Tipo de Transacción], Listas!$H$3, Transacciones[Forma de Pago], Listas!$K$6))</f>
        <v/>
      </c>
    </row>
    <row r="257">
      <c r="B257" s="48" t="str">
        <f>IF(A257="","", SUMIFS(Transacciones[Monto], Transacciones[ID Cliente], 'Saldo a Favor'!$A257, Transacciones[Tipo de Transacción], Listas!$H$5) - SUMIFS(Transacciones[Monto], Transacciones[ID Cliente], 'Saldo a Favor'!$A257, Transacciones[Tipo de Transacción], Listas!$H$3, Transacciones[Forma de Pago], Listas!$K$6))</f>
        <v/>
      </c>
    </row>
    <row r="258">
      <c r="B258" s="48" t="str">
        <f>IF(A258="","", SUMIFS(Transacciones[Monto], Transacciones[ID Cliente], 'Saldo a Favor'!$A258, Transacciones[Tipo de Transacción], Listas!$H$5) - SUMIFS(Transacciones[Monto], Transacciones[ID Cliente], 'Saldo a Favor'!$A258, Transacciones[Tipo de Transacción], Listas!$H$3, Transacciones[Forma de Pago], Listas!$K$6))</f>
        <v/>
      </c>
    </row>
    <row r="259">
      <c r="B259" s="48" t="str">
        <f>IF(A259="","", SUMIFS(Transacciones[Monto], Transacciones[ID Cliente], 'Saldo a Favor'!$A259, Transacciones[Tipo de Transacción], Listas!$H$5) - SUMIFS(Transacciones[Monto], Transacciones[ID Cliente], 'Saldo a Favor'!$A259, Transacciones[Tipo de Transacción], Listas!$H$3, Transacciones[Forma de Pago], Listas!$K$6))</f>
        <v/>
      </c>
    </row>
    <row r="260">
      <c r="B260" s="48" t="str">
        <f>IF(A260="","", SUMIFS(Transacciones[Monto], Transacciones[ID Cliente], 'Saldo a Favor'!$A260, Transacciones[Tipo de Transacción], Listas!$H$5) - SUMIFS(Transacciones[Monto], Transacciones[ID Cliente], 'Saldo a Favor'!$A260, Transacciones[Tipo de Transacción], Listas!$H$3, Transacciones[Forma de Pago], Listas!$K$6))</f>
        <v/>
      </c>
    </row>
    <row r="261">
      <c r="B261" s="48" t="str">
        <f>IF(A261="","", SUMIFS(Transacciones[Monto], Transacciones[ID Cliente], 'Saldo a Favor'!$A261, Transacciones[Tipo de Transacción], Listas!$H$5) - SUMIFS(Transacciones[Monto], Transacciones[ID Cliente], 'Saldo a Favor'!$A261, Transacciones[Tipo de Transacción], Listas!$H$3, Transacciones[Forma de Pago], Listas!$K$6))</f>
        <v/>
      </c>
    </row>
    <row r="262">
      <c r="B262" s="48" t="str">
        <f>IF(A262="","", SUMIFS(Transacciones[Monto], Transacciones[ID Cliente], 'Saldo a Favor'!$A262, Transacciones[Tipo de Transacción], Listas!$H$5) - SUMIFS(Transacciones[Monto], Transacciones[ID Cliente], 'Saldo a Favor'!$A262, Transacciones[Tipo de Transacción], Listas!$H$3, Transacciones[Forma de Pago], Listas!$K$6))</f>
        <v/>
      </c>
    </row>
    <row r="263">
      <c r="B263" s="48" t="str">
        <f>IF(A263="","", SUMIFS(Transacciones[Monto], Transacciones[ID Cliente], 'Saldo a Favor'!$A263, Transacciones[Tipo de Transacción], Listas!$H$5) - SUMIFS(Transacciones[Monto], Transacciones[ID Cliente], 'Saldo a Favor'!$A263, Transacciones[Tipo de Transacción], Listas!$H$3, Transacciones[Forma de Pago], Listas!$K$6))</f>
        <v/>
      </c>
    </row>
    <row r="264">
      <c r="B264" s="48" t="str">
        <f>IF(A264="","", SUMIFS(Transacciones[Monto], Transacciones[ID Cliente], 'Saldo a Favor'!$A264, Transacciones[Tipo de Transacción], Listas!$H$5) - SUMIFS(Transacciones[Monto], Transacciones[ID Cliente], 'Saldo a Favor'!$A264, Transacciones[Tipo de Transacción], Listas!$H$3, Transacciones[Forma de Pago], Listas!$K$6))</f>
        <v/>
      </c>
    </row>
    <row r="265">
      <c r="B265" s="48" t="str">
        <f>IF(A265="","", SUMIFS(Transacciones[Monto], Transacciones[ID Cliente], 'Saldo a Favor'!$A265, Transacciones[Tipo de Transacción], Listas!$H$5) - SUMIFS(Transacciones[Monto], Transacciones[ID Cliente], 'Saldo a Favor'!$A265, Transacciones[Tipo de Transacción], Listas!$H$3, Transacciones[Forma de Pago], Listas!$K$6))</f>
        <v/>
      </c>
    </row>
    <row r="266">
      <c r="B266" s="48" t="str">
        <f>IF(A266="","", SUMIFS(Transacciones[Monto], Transacciones[ID Cliente], 'Saldo a Favor'!$A266, Transacciones[Tipo de Transacción], Listas!$H$5) - SUMIFS(Transacciones[Monto], Transacciones[ID Cliente], 'Saldo a Favor'!$A266, Transacciones[Tipo de Transacción], Listas!$H$3, Transacciones[Forma de Pago], Listas!$K$6))</f>
        <v/>
      </c>
    </row>
    <row r="267">
      <c r="B267" s="48" t="str">
        <f>IF(A267="","", SUMIFS(Transacciones[Monto], Transacciones[ID Cliente], 'Saldo a Favor'!$A267, Transacciones[Tipo de Transacción], Listas!$H$5) - SUMIFS(Transacciones[Monto], Transacciones[ID Cliente], 'Saldo a Favor'!$A267, Transacciones[Tipo de Transacción], Listas!$H$3, Transacciones[Forma de Pago], Listas!$K$6))</f>
        <v/>
      </c>
    </row>
    <row r="268">
      <c r="B268" s="48" t="str">
        <f>IF(A268="","", SUMIFS(Transacciones[Monto], Transacciones[ID Cliente], 'Saldo a Favor'!$A268, Transacciones[Tipo de Transacción], Listas!$H$5) - SUMIFS(Transacciones[Monto], Transacciones[ID Cliente], 'Saldo a Favor'!$A268, Transacciones[Tipo de Transacción], Listas!$H$3, Transacciones[Forma de Pago], Listas!$K$6))</f>
        <v/>
      </c>
    </row>
    <row r="269">
      <c r="B269" s="48" t="str">
        <f>IF(A269="","", SUMIFS(Transacciones[Monto], Transacciones[ID Cliente], 'Saldo a Favor'!$A269, Transacciones[Tipo de Transacción], Listas!$H$5) - SUMIFS(Transacciones[Monto], Transacciones[ID Cliente], 'Saldo a Favor'!$A269, Transacciones[Tipo de Transacción], Listas!$H$3, Transacciones[Forma de Pago], Listas!$K$6))</f>
        <v/>
      </c>
    </row>
    <row r="270">
      <c r="B270" s="48" t="str">
        <f>IF(A270="","", SUMIFS(Transacciones[Monto], Transacciones[ID Cliente], 'Saldo a Favor'!$A270, Transacciones[Tipo de Transacción], Listas!$H$5) - SUMIFS(Transacciones[Monto], Transacciones[ID Cliente], 'Saldo a Favor'!$A270, Transacciones[Tipo de Transacción], Listas!$H$3, Transacciones[Forma de Pago], Listas!$K$6))</f>
        <v/>
      </c>
    </row>
    <row r="271">
      <c r="B271" s="48" t="str">
        <f>IF(A271="","", SUMIFS(Transacciones[Monto], Transacciones[ID Cliente], 'Saldo a Favor'!$A271, Transacciones[Tipo de Transacción], Listas!$H$5) - SUMIFS(Transacciones[Monto], Transacciones[ID Cliente], 'Saldo a Favor'!$A271, Transacciones[Tipo de Transacción], Listas!$H$3, Transacciones[Forma de Pago], Listas!$K$6))</f>
        <v/>
      </c>
    </row>
    <row r="272">
      <c r="B272" s="48" t="str">
        <f>IF(A272="","", SUMIFS(Transacciones[Monto], Transacciones[ID Cliente], 'Saldo a Favor'!$A272, Transacciones[Tipo de Transacción], Listas!$H$5) - SUMIFS(Transacciones[Monto], Transacciones[ID Cliente], 'Saldo a Favor'!$A272, Transacciones[Tipo de Transacción], Listas!$H$3, Transacciones[Forma de Pago], Listas!$K$6))</f>
        <v/>
      </c>
    </row>
    <row r="273">
      <c r="B273" s="48" t="str">
        <f>IF(A273="","", SUMIFS(Transacciones[Monto], Transacciones[ID Cliente], 'Saldo a Favor'!$A273, Transacciones[Tipo de Transacción], Listas!$H$5) - SUMIFS(Transacciones[Monto], Transacciones[ID Cliente], 'Saldo a Favor'!$A273, Transacciones[Tipo de Transacción], Listas!$H$3, Transacciones[Forma de Pago], Listas!$K$6))</f>
        <v/>
      </c>
    </row>
    <row r="274">
      <c r="B274" s="48" t="str">
        <f>IF(A274="","", SUMIFS(Transacciones[Monto], Transacciones[ID Cliente], 'Saldo a Favor'!$A274, Transacciones[Tipo de Transacción], Listas!$H$5) - SUMIFS(Transacciones[Monto], Transacciones[ID Cliente], 'Saldo a Favor'!$A274, Transacciones[Tipo de Transacción], Listas!$H$3, Transacciones[Forma de Pago], Listas!$K$6))</f>
        <v/>
      </c>
    </row>
    <row r="275">
      <c r="B275" s="48" t="str">
        <f>IF(A275="","", SUMIFS(Transacciones[Monto], Transacciones[ID Cliente], 'Saldo a Favor'!$A275, Transacciones[Tipo de Transacción], Listas!$H$5) - SUMIFS(Transacciones[Monto], Transacciones[ID Cliente], 'Saldo a Favor'!$A275, Transacciones[Tipo de Transacción], Listas!$H$3, Transacciones[Forma de Pago], Listas!$K$6))</f>
        <v/>
      </c>
    </row>
    <row r="276">
      <c r="B276" s="48" t="str">
        <f>IF(A276="","", SUMIFS(Transacciones[Monto], Transacciones[ID Cliente], 'Saldo a Favor'!$A276, Transacciones[Tipo de Transacción], Listas!$H$5) - SUMIFS(Transacciones[Monto], Transacciones[ID Cliente], 'Saldo a Favor'!$A276, Transacciones[Tipo de Transacción], Listas!$H$3, Transacciones[Forma de Pago], Listas!$K$6))</f>
        <v/>
      </c>
    </row>
    <row r="277">
      <c r="B277" s="48" t="str">
        <f>IF(A277="","", SUMIFS(Transacciones[Monto], Transacciones[ID Cliente], 'Saldo a Favor'!$A277, Transacciones[Tipo de Transacción], Listas!$H$5) - SUMIFS(Transacciones[Monto], Transacciones[ID Cliente], 'Saldo a Favor'!$A277, Transacciones[Tipo de Transacción], Listas!$H$3, Transacciones[Forma de Pago], Listas!$K$6))</f>
        <v/>
      </c>
    </row>
    <row r="278">
      <c r="B278" s="48" t="str">
        <f>IF(A278="","", SUMIFS(Transacciones[Monto], Transacciones[ID Cliente], 'Saldo a Favor'!$A278, Transacciones[Tipo de Transacción], Listas!$H$5) - SUMIFS(Transacciones[Monto], Transacciones[ID Cliente], 'Saldo a Favor'!$A278, Transacciones[Tipo de Transacción], Listas!$H$3, Transacciones[Forma de Pago], Listas!$K$6))</f>
        <v/>
      </c>
    </row>
    <row r="279">
      <c r="B279" s="48" t="str">
        <f>IF(A279="","", SUMIFS(Transacciones[Monto], Transacciones[ID Cliente], 'Saldo a Favor'!$A279, Transacciones[Tipo de Transacción], Listas!$H$5) - SUMIFS(Transacciones[Monto], Transacciones[ID Cliente], 'Saldo a Favor'!$A279, Transacciones[Tipo de Transacción], Listas!$H$3, Transacciones[Forma de Pago], Listas!$K$6))</f>
        <v/>
      </c>
    </row>
    <row r="280">
      <c r="B280" s="48" t="str">
        <f>IF(A280="","", SUMIFS(Transacciones[Monto], Transacciones[ID Cliente], 'Saldo a Favor'!$A280, Transacciones[Tipo de Transacción], Listas!$H$5) - SUMIFS(Transacciones[Monto], Transacciones[ID Cliente], 'Saldo a Favor'!$A280, Transacciones[Tipo de Transacción], Listas!$H$3, Transacciones[Forma de Pago], Listas!$K$6))</f>
        <v/>
      </c>
    </row>
    <row r="281">
      <c r="B281" s="48" t="str">
        <f>IF(A281="","", SUMIFS(Transacciones[Monto], Transacciones[ID Cliente], 'Saldo a Favor'!$A281, Transacciones[Tipo de Transacción], Listas!$H$5) - SUMIFS(Transacciones[Monto], Transacciones[ID Cliente], 'Saldo a Favor'!$A281, Transacciones[Tipo de Transacción], Listas!$H$3, Transacciones[Forma de Pago], Listas!$K$6))</f>
        <v/>
      </c>
    </row>
    <row r="282">
      <c r="B282" s="48" t="str">
        <f>IF(A282="","", SUMIFS(Transacciones[Monto], Transacciones[ID Cliente], 'Saldo a Favor'!$A282, Transacciones[Tipo de Transacción], Listas!$H$5) - SUMIFS(Transacciones[Monto], Transacciones[ID Cliente], 'Saldo a Favor'!$A282, Transacciones[Tipo de Transacción], Listas!$H$3, Transacciones[Forma de Pago], Listas!$K$6))</f>
        <v/>
      </c>
    </row>
    <row r="283">
      <c r="B283" s="48" t="str">
        <f>IF(A283="","", SUMIFS(Transacciones[Monto], Transacciones[ID Cliente], 'Saldo a Favor'!$A283, Transacciones[Tipo de Transacción], Listas!$H$5) - SUMIFS(Transacciones[Monto], Transacciones[ID Cliente], 'Saldo a Favor'!$A283, Transacciones[Tipo de Transacción], Listas!$H$3, Transacciones[Forma de Pago], Listas!$K$6))</f>
        <v/>
      </c>
    </row>
    <row r="284">
      <c r="B284" s="48" t="str">
        <f>IF(A284="","", SUMIFS(Transacciones[Monto], Transacciones[ID Cliente], 'Saldo a Favor'!$A284, Transacciones[Tipo de Transacción], Listas!$H$5) - SUMIFS(Transacciones[Monto], Transacciones[ID Cliente], 'Saldo a Favor'!$A284, Transacciones[Tipo de Transacción], Listas!$H$3, Transacciones[Forma de Pago], Listas!$K$6))</f>
        <v/>
      </c>
    </row>
    <row r="285">
      <c r="B285" s="48" t="str">
        <f>IF(A285="","", SUMIFS(Transacciones[Monto], Transacciones[ID Cliente], 'Saldo a Favor'!$A285, Transacciones[Tipo de Transacción], Listas!$H$5) - SUMIFS(Transacciones[Monto], Transacciones[ID Cliente], 'Saldo a Favor'!$A285, Transacciones[Tipo de Transacción], Listas!$H$3, Transacciones[Forma de Pago], Listas!$K$6))</f>
        <v/>
      </c>
    </row>
    <row r="286">
      <c r="B286" s="48" t="str">
        <f>IF(A286="","", SUMIFS(Transacciones[Monto], Transacciones[ID Cliente], 'Saldo a Favor'!$A286, Transacciones[Tipo de Transacción], Listas!$H$5) - SUMIFS(Transacciones[Monto], Transacciones[ID Cliente], 'Saldo a Favor'!$A286, Transacciones[Tipo de Transacción], Listas!$H$3, Transacciones[Forma de Pago], Listas!$K$6))</f>
        <v/>
      </c>
    </row>
    <row r="287">
      <c r="B287" s="48" t="str">
        <f>IF(A287="","", SUMIFS(Transacciones[Monto], Transacciones[ID Cliente], 'Saldo a Favor'!$A287, Transacciones[Tipo de Transacción], Listas!$H$5) - SUMIFS(Transacciones[Monto], Transacciones[ID Cliente], 'Saldo a Favor'!$A287, Transacciones[Tipo de Transacción], Listas!$H$3, Transacciones[Forma de Pago], Listas!$K$6))</f>
        <v/>
      </c>
    </row>
    <row r="288">
      <c r="B288" s="48" t="str">
        <f>IF(A288="","", SUMIFS(Transacciones[Monto], Transacciones[ID Cliente], 'Saldo a Favor'!$A288, Transacciones[Tipo de Transacción], Listas!$H$5) - SUMIFS(Transacciones[Monto], Transacciones[ID Cliente], 'Saldo a Favor'!$A288, Transacciones[Tipo de Transacción], Listas!$H$3, Transacciones[Forma de Pago], Listas!$K$6))</f>
        <v/>
      </c>
    </row>
    <row r="289">
      <c r="B289" s="48" t="str">
        <f>IF(A289="","", SUMIFS(Transacciones[Monto], Transacciones[ID Cliente], 'Saldo a Favor'!$A289, Transacciones[Tipo de Transacción], Listas!$H$5) - SUMIFS(Transacciones[Monto], Transacciones[ID Cliente], 'Saldo a Favor'!$A289, Transacciones[Tipo de Transacción], Listas!$H$3, Transacciones[Forma de Pago], Listas!$K$6))</f>
        <v/>
      </c>
    </row>
    <row r="290">
      <c r="B290" s="48" t="str">
        <f>IF(A290="","", SUMIFS(Transacciones[Monto], Transacciones[ID Cliente], 'Saldo a Favor'!$A290, Transacciones[Tipo de Transacción], Listas!$H$5) - SUMIFS(Transacciones[Monto], Transacciones[ID Cliente], 'Saldo a Favor'!$A290, Transacciones[Tipo de Transacción], Listas!$H$3, Transacciones[Forma de Pago], Listas!$K$6))</f>
        <v/>
      </c>
    </row>
    <row r="291">
      <c r="B291" s="48" t="str">
        <f>IF(A291="","", SUMIFS(Transacciones[Monto], Transacciones[ID Cliente], 'Saldo a Favor'!$A291, Transacciones[Tipo de Transacción], Listas!$H$5) - SUMIFS(Transacciones[Monto], Transacciones[ID Cliente], 'Saldo a Favor'!$A291, Transacciones[Tipo de Transacción], Listas!$H$3, Transacciones[Forma de Pago], Listas!$K$6))</f>
        <v/>
      </c>
    </row>
    <row r="292">
      <c r="B292" s="48" t="str">
        <f>IF(A292="","", SUMIFS(Transacciones[Monto], Transacciones[ID Cliente], 'Saldo a Favor'!$A292, Transacciones[Tipo de Transacción], Listas!$H$5) - SUMIFS(Transacciones[Monto], Transacciones[ID Cliente], 'Saldo a Favor'!$A292, Transacciones[Tipo de Transacción], Listas!$H$3, Transacciones[Forma de Pago], Listas!$K$6))</f>
        <v/>
      </c>
    </row>
    <row r="293">
      <c r="B293" s="48" t="str">
        <f>IF(A293="","", SUMIFS(Transacciones[Monto], Transacciones[ID Cliente], 'Saldo a Favor'!$A293, Transacciones[Tipo de Transacción], Listas!$H$5) - SUMIFS(Transacciones[Monto], Transacciones[ID Cliente], 'Saldo a Favor'!$A293, Transacciones[Tipo de Transacción], Listas!$H$3, Transacciones[Forma de Pago], Listas!$K$6))</f>
        <v/>
      </c>
    </row>
    <row r="294">
      <c r="B294" s="48" t="str">
        <f>IF(A294="","", SUMIFS(Transacciones[Monto], Transacciones[ID Cliente], 'Saldo a Favor'!$A294, Transacciones[Tipo de Transacción], Listas!$H$5) - SUMIFS(Transacciones[Monto], Transacciones[ID Cliente], 'Saldo a Favor'!$A294, Transacciones[Tipo de Transacción], Listas!$H$3, Transacciones[Forma de Pago], Listas!$K$6))</f>
        <v/>
      </c>
    </row>
    <row r="295">
      <c r="B295" s="48" t="str">
        <f>IF(A295="","", SUMIFS(Transacciones[Monto], Transacciones[ID Cliente], 'Saldo a Favor'!$A295, Transacciones[Tipo de Transacción], Listas!$H$5) - SUMIFS(Transacciones[Monto], Transacciones[ID Cliente], 'Saldo a Favor'!$A295, Transacciones[Tipo de Transacción], Listas!$H$3, Transacciones[Forma de Pago], Listas!$K$6))</f>
        <v/>
      </c>
    </row>
    <row r="296">
      <c r="B296" s="48" t="str">
        <f>IF(A296="","", SUMIFS(Transacciones[Monto], Transacciones[ID Cliente], 'Saldo a Favor'!$A296, Transacciones[Tipo de Transacción], Listas!$H$5) - SUMIFS(Transacciones[Monto], Transacciones[ID Cliente], 'Saldo a Favor'!$A296, Transacciones[Tipo de Transacción], Listas!$H$3, Transacciones[Forma de Pago], Listas!$K$6))</f>
        <v/>
      </c>
    </row>
    <row r="297">
      <c r="B297" s="48" t="str">
        <f>IF(A297="","", SUMIFS(Transacciones[Monto], Transacciones[ID Cliente], 'Saldo a Favor'!$A297, Transacciones[Tipo de Transacción], Listas!$H$5) - SUMIFS(Transacciones[Monto], Transacciones[ID Cliente], 'Saldo a Favor'!$A297, Transacciones[Tipo de Transacción], Listas!$H$3, Transacciones[Forma de Pago], Listas!$K$6))</f>
        <v/>
      </c>
    </row>
    <row r="298">
      <c r="B298" s="48" t="str">
        <f>IF(A298="","", SUMIFS(Transacciones[Monto], Transacciones[ID Cliente], 'Saldo a Favor'!$A298, Transacciones[Tipo de Transacción], Listas!$H$5) - SUMIFS(Transacciones[Monto], Transacciones[ID Cliente], 'Saldo a Favor'!$A298, Transacciones[Tipo de Transacción], Listas!$H$3, Transacciones[Forma de Pago], Listas!$K$6))</f>
        <v/>
      </c>
    </row>
    <row r="299">
      <c r="B299" s="48" t="str">
        <f>IF(A299="","", SUMIFS(Transacciones[Monto], Transacciones[ID Cliente], 'Saldo a Favor'!$A299, Transacciones[Tipo de Transacción], Listas!$H$5) - SUMIFS(Transacciones[Monto], Transacciones[ID Cliente], 'Saldo a Favor'!$A299, Transacciones[Tipo de Transacción], Listas!$H$3, Transacciones[Forma de Pago], Listas!$K$6))</f>
        <v/>
      </c>
    </row>
    <row r="300">
      <c r="B300" s="48" t="str">
        <f>IF(A300="","", SUMIFS(Transacciones[Monto], Transacciones[ID Cliente], 'Saldo a Favor'!$A300, Transacciones[Tipo de Transacción], Listas!$H$5) - SUMIFS(Transacciones[Monto], Transacciones[ID Cliente], 'Saldo a Favor'!$A300, Transacciones[Tipo de Transacción], Listas!$H$3, Transacciones[Forma de Pago], Listas!$K$6))</f>
        <v/>
      </c>
    </row>
    <row r="301">
      <c r="B301" s="48" t="str">
        <f>IF(A301="","", SUMIFS(Transacciones[Monto], Transacciones[ID Cliente], 'Saldo a Favor'!$A301, Transacciones[Tipo de Transacción], Listas!$H$5) - SUMIFS(Transacciones[Monto], Transacciones[ID Cliente], 'Saldo a Favor'!$A301, Transacciones[Tipo de Transacción], Listas!$H$3, Transacciones[Forma de Pago], Listas!$K$6))</f>
        <v/>
      </c>
    </row>
    <row r="302">
      <c r="B302" s="48" t="str">
        <f>IF(A302="","", SUMIFS(Transacciones[Monto], Transacciones[ID Cliente], 'Saldo a Favor'!$A302, Transacciones[Tipo de Transacción], Listas!$H$5) - SUMIFS(Transacciones[Monto], Transacciones[ID Cliente], 'Saldo a Favor'!$A302, Transacciones[Tipo de Transacción], Listas!$H$3, Transacciones[Forma de Pago], Listas!$K$6))</f>
        <v/>
      </c>
    </row>
    <row r="303">
      <c r="B303" s="48" t="str">
        <f>IF(A303="","", SUMIFS(Transacciones[Monto], Transacciones[ID Cliente], 'Saldo a Favor'!$A303, Transacciones[Tipo de Transacción], Listas!$H$5) - SUMIFS(Transacciones[Monto], Transacciones[ID Cliente], 'Saldo a Favor'!$A303, Transacciones[Tipo de Transacción], Listas!$H$3, Transacciones[Forma de Pago], Listas!$K$6))</f>
        <v/>
      </c>
    </row>
    <row r="304">
      <c r="B304" s="48" t="str">
        <f>IF(A304="","", SUMIFS(Transacciones[Monto], Transacciones[ID Cliente], 'Saldo a Favor'!$A304, Transacciones[Tipo de Transacción], Listas!$H$5) - SUMIFS(Transacciones[Monto], Transacciones[ID Cliente], 'Saldo a Favor'!$A304, Transacciones[Tipo de Transacción], Listas!$H$3, Transacciones[Forma de Pago], Listas!$K$6))</f>
        <v/>
      </c>
    </row>
    <row r="305">
      <c r="B305" s="48" t="str">
        <f>IF(A305="","", SUMIFS(Transacciones[Monto], Transacciones[ID Cliente], 'Saldo a Favor'!$A305, Transacciones[Tipo de Transacción], Listas!$H$5) - SUMIFS(Transacciones[Monto], Transacciones[ID Cliente], 'Saldo a Favor'!$A305, Transacciones[Tipo de Transacción], Listas!$H$3, Transacciones[Forma de Pago], Listas!$K$6))</f>
        <v/>
      </c>
    </row>
    <row r="306">
      <c r="B306" s="48" t="str">
        <f>IF(A306="","", SUMIFS(Transacciones[Monto], Transacciones[ID Cliente], 'Saldo a Favor'!$A306, Transacciones[Tipo de Transacción], Listas!$H$5) - SUMIFS(Transacciones[Monto], Transacciones[ID Cliente], 'Saldo a Favor'!$A306, Transacciones[Tipo de Transacción], Listas!$H$3, Transacciones[Forma de Pago], Listas!$K$6))</f>
        <v/>
      </c>
    </row>
    <row r="307">
      <c r="B307" s="48" t="str">
        <f>IF(A307="","", SUMIFS(Transacciones[Monto], Transacciones[ID Cliente], 'Saldo a Favor'!$A307, Transacciones[Tipo de Transacción], Listas!$H$5) - SUMIFS(Transacciones[Monto], Transacciones[ID Cliente], 'Saldo a Favor'!$A307, Transacciones[Tipo de Transacción], Listas!$H$3, Transacciones[Forma de Pago], Listas!$K$6))</f>
        <v/>
      </c>
    </row>
    <row r="308">
      <c r="B308" s="48" t="str">
        <f>IF(A308="","", SUMIFS(Transacciones[Monto], Transacciones[ID Cliente], 'Saldo a Favor'!$A308, Transacciones[Tipo de Transacción], Listas!$H$5) - SUMIFS(Transacciones[Monto], Transacciones[ID Cliente], 'Saldo a Favor'!$A308, Transacciones[Tipo de Transacción], Listas!$H$3, Transacciones[Forma de Pago], Listas!$K$6))</f>
        <v/>
      </c>
    </row>
    <row r="309">
      <c r="B309" s="48" t="str">
        <f>IF(A309="","", SUMIFS(Transacciones[Monto], Transacciones[ID Cliente], 'Saldo a Favor'!$A309, Transacciones[Tipo de Transacción], Listas!$H$5) - SUMIFS(Transacciones[Monto], Transacciones[ID Cliente], 'Saldo a Favor'!$A309, Transacciones[Tipo de Transacción], Listas!$H$3, Transacciones[Forma de Pago], Listas!$K$6))</f>
        <v/>
      </c>
    </row>
    <row r="310">
      <c r="B310" s="48" t="str">
        <f>IF(A310="","", SUMIFS(Transacciones[Monto], Transacciones[ID Cliente], 'Saldo a Favor'!$A310, Transacciones[Tipo de Transacción], Listas!$H$5) - SUMIFS(Transacciones[Monto], Transacciones[ID Cliente], 'Saldo a Favor'!$A310, Transacciones[Tipo de Transacción], Listas!$H$3, Transacciones[Forma de Pago], Listas!$K$6))</f>
        <v/>
      </c>
    </row>
    <row r="311">
      <c r="B311" s="48" t="str">
        <f>IF(A311="","", SUMIFS(Transacciones[Monto], Transacciones[ID Cliente], 'Saldo a Favor'!$A311, Transacciones[Tipo de Transacción], Listas!$H$5) - SUMIFS(Transacciones[Monto], Transacciones[ID Cliente], 'Saldo a Favor'!$A311, Transacciones[Tipo de Transacción], Listas!$H$3, Transacciones[Forma de Pago], Listas!$K$6))</f>
        <v/>
      </c>
    </row>
    <row r="312">
      <c r="B312" s="48" t="str">
        <f>IF(A312="","", SUMIFS(Transacciones[Monto], Transacciones[ID Cliente], 'Saldo a Favor'!$A312, Transacciones[Tipo de Transacción], Listas!$H$5) - SUMIFS(Transacciones[Monto], Transacciones[ID Cliente], 'Saldo a Favor'!$A312, Transacciones[Tipo de Transacción], Listas!$H$3, Transacciones[Forma de Pago], Listas!$K$6))</f>
        <v/>
      </c>
    </row>
    <row r="313">
      <c r="B313" s="48" t="str">
        <f>IF(A313="","", SUMIFS(Transacciones[Monto], Transacciones[ID Cliente], 'Saldo a Favor'!$A313, Transacciones[Tipo de Transacción], Listas!$H$5) - SUMIFS(Transacciones[Monto], Transacciones[ID Cliente], 'Saldo a Favor'!$A313, Transacciones[Tipo de Transacción], Listas!$H$3, Transacciones[Forma de Pago], Listas!$K$6))</f>
        <v/>
      </c>
    </row>
    <row r="314">
      <c r="B314" s="48" t="str">
        <f>IF(A314="","", SUMIFS(Transacciones[Monto], Transacciones[ID Cliente], 'Saldo a Favor'!$A314, Transacciones[Tipo de Transacción], Listas!$H$5) - SUMIFS(Transacciones[Monto], Transacciones[ID Cliente], 'Saldo a Favor'!$A314, Transacciones[Tipo de Transacción], Listas!$H$3, Transacciones[Forma de Pago], Listas!$K$6))</f>
        <v/>
      </c>
    </row>
    <row r="315">
      <c r="B315" s="48" t="str">
        <f>IF(A315="","", SUMIFS(Transacciones[Monto], Transacciones[ID Cliente], 'Saldo a Favor'!$A315, Transacciones[Tipo de Transacción], Listas!$H$5) - SUMIFS(Transacciones[Monto], Transacciones[ID Cliente], 'Saldo a Favor'!$A315, Transacciones[Tipo de Transacción], Listas!$H$3, Transacciones[Forma de Pago], Listas!$K$6))</f>
        <v/>
      </c>
    </row>
    <row r="316">
      <c r="B316" s="48" t="str">
        <f>IF(A316="","", SUMIFS(Transacciones[Monto], Transacciones[ID Cliente], 'Saldo a Favor'!$A316, Transacciones[Tipo de Transacción], Listas!$H$5) - SUMIFS(Transacciones[Monto], Transacciones[ID Cliente], 'Saldo a Favor'!$A316, Transacciones[Tipo de Transacción], Listas!$H$3, Transacciones[Forma de Pago], Listas!$K$6))</f>
        <v/>
      </c>
    </row>
    <row r="317">
      <c r="B317" s="48" t="str">
        <f>IF(A317="","", SUMIFS(Transacciones[Monto], Transacciones[ID Cliente], 'Saldo a Favor'!$A317, Transacciones[Tipo de Transacción], Listas!$H$5) - SUMIFS(Transacciones[Monto], Transacciones[ID Cliente], 'Saldo a Favor'!$A317, Transacciones[Tipo de Transacción], Listas!$H$3, Transacciones[Forma de Pago], Listas!$K$6))</f>
        <v/>
      </c>
    </row>
    <row r="318">
      <c r="B318" s="48" t="str">
        <f>IF(A318="","", SUMIFS(Transacciones[Monto], Transacciones[ID Cliente], 'Saldo a Favor'!$A318, Transacciones[Tipo de Transacción], Listas!$H$5) - SUMIFS(Transacciones[Monto], Transacciones[ID Cliente], 'Saldo a Favor'!$A318, Transacciones[Tipo de Transacción], Listas!$H$3, Transacciones[Forma de Pago], Listas!$K$6))</f>
        <v/>
      </c>
    </row>
    <row r="319">
      <c r="B319" s="48" t="str">
        <f>IF(A319="","", SUMIFS(Transacciones[Monto], Transacciones[ID Cliente], 'Saldo a Favor'!$A319, Transacciones[Tipo de Transacción], Listas!$H$5) - SUMIFS(Transacciones[Monto], Transacciones[ID Cliente], 'Saldo a Favor'!$A319, Transacciones[Tipo de Transacción], Listas!$H$3, Transacciones[Forma de Pago], Listas!$K$6))</f>
        <v/>
      </c>
    </row>
    <row r="320">
      <c r="B320" s="48" t="str">
        <f>IF(A320="","", SUMIFS(Transacciones[Monto], Transacciones[ID Cliente], 'Saldo a Favor'!$A320, Transacciones[Tipo de Transacción], Listas!$H$5) - SUMIFS(Transacciones[Monto], Transacciones[ID Cliente], 'Saldo a Favor'!$A320, Transacciones[Tipo de Transacción], Listas!$H$3, Transacciones[Forma de Pago], Listas!$K$6))</f>
        <v/>
      </c>
    </row>
    <row r="321">
      <c r="B321" s="48" t="str">
        <f>IF(A321="","", SUMIFS(Transacciones[Monto], Transacciones[ID Cliente], 'Saldo a Favor'!$A321, Transacciones[Tipo de Transacción], Listas!$H$5) - SUMIFS(Transacciones[Monto], Transacciones[ID Cliente], 'Saldo a Favor'!$A321, Transacciones[Tipo de Transacción], Listas!$H$3, Transacciones[Forma de Pago], Listas!$K$6))</f>
        <v/>
      </c>
    </row>
    <row r="322">
      <c r="B322" s="48" t="str">
        <f>IF(A322="","", SUMIFS(Transacciones[Monto], Transacciones[ID Cliente], 'Saldo a Favor'!$A322, Transacciones[Tipo de Transacción], Listas!$H$5) - SUMIFS(Transacciones[Monto], Transacciones[ID Cliente], 'Saldo a Favor'!$A322, Transacciones[Tipo de Transacción], Listas!$H$3, Transacciones[Forma de Pago], Listas!$K$6))</f>
        <v/>
      </c>
    </row>
    <row r="323">
      <c r="B323" s="48" t="str">
        <f>IF(A323="","", SUMIFS(Transacciones[Monto], Transacciones[ID Cliente], 'Saldo a Favor'!$A323, Transacciones[Tipo de Transacción], Listas!$H$5) - SUMIFS(Transacciones[Monto], Transacciones[ID Cliente], 'Saldo a Favor'!$A323, Transacciones[Tipo de Transacción], Listas!$H$3, Transacciones[Forma de Pago], Listas!$K$6))</f>
        <v/>
      </c>
    </row>
    <row r="324">
      <c r="B324" s="48" t="str">
        <f>IF(A324="","", SUMIFS(Transacciones[Monto], Transacciones[ID Cliente], 'Saldo a Favor'!$A324, Transacciones[Tipo de Transacción], Listas!$H$5) - SUMIFS(Transacciones[Monto], Transacciones[ID Cliente], 'Saldo a Favor'!$A324, Transacciones[Tipo de Transacción], Listas!$H$3, Transacciones[Forma de Pago], Listas!$K$6))</f>
        <v/>
      </c>
    </row>
    <row r="325">
      <c r="B325" s="48" t="str">
        <f>IF(A325="","", SUMIFS(Transacciones[Monto], Transacciones[ID Cliente], 'Saldo a Favor'!$A325, Transacciones[Tipo de Transacción], Listas!$H$5) - SUMIFS(Transacciones[Monto], Transacciones[ID Cliente], 'Saldo a Favor'!$A325, Transacciones[Tipo de Transacción], Listas!$H$3, Transacciones[Forma de Pago], Listas!$K$6))</f>
        <v/>
      </c>
    </row>
    <row r="326">
      <c r="B326" s="48" t="str">
        <f>IF(A326="","", SUMIFS(Transacciones[Monto], Transacciones[ID Cliente], 'Saldo a Favor'!$A326, Transacciones[Tipo de Transacción], Listas!$H$5) - SUMIFS(Transacciones[Monto], Transacciones[ID Cliente], 'Saldo a Favor'!$A326, Transacciones[Tipo de Transacción], Listas!$H$3, Transacciones[Forma de Pago], Listas!$K$6))</f>
        <v/>
      </c>
    </row>
    <row r="327">
      <c r="B327" s="48" t="str">
        <f>IF(A327="","", SUMIFS(Transacciones[Monto], Transacciones[ID Cliente], 'Saldo a Favor'!$A327, Transacciones[Tipo de Transacción], Listas!$H$5) - SUMIFS(Transacciones[Monto], Transacciones[ID Cliente], 'Saldo a Favor'!$A327, Transacciones[Tipo de Transacción], Listas!$H$3, Transacciones[Forma de Pago], Listas!$K$6))</f>
        <v/>
      </c>
    </row>
    <row r="328">
      <c r="B328" s="48" t="str">
        <f>IF(A328="","", SUMIFS(Transacciones[Monto], Transacciones[ID Cliente], 'Saldo a Favor'!$A328, Transacciones[Tipo de Transacción], Listas!$H$5) - SUMIFS(Transacciones[Monto], Transacciones[ID Cliente], 'Saldo a Favor'!$A328, Transacciones[Tipo de Transacción], Listas!$H$3, Transacciones[Forma de Pago], Listas!$K$6))</f>
        <v/>
      </c>
    </row>
    <row r="329">
      <c r="B329" s="48" t="str">
        <f>IF(A329="","", SUMIFS(Transacciones[Monto], Transacciones[ID Cliente], 'Saldo a Favor'!$A329, Transacciones[Tipo de Transacción], Listas!$H$5) - SUMIFS(Transacciones[Monto], Transacciones[ID Cliente], 'Saldo a Favor'!$A329, Transacciones[Tipo de Transacción], Listas!$H$3, Transacciones[Forma de Pago], Listas!$K$6))</f>
        <v/>
      </c>
    </row>
    <row r="330">
      <c r="B330" s="48" t="str">
        <f>IF(A330="","", SUMIFS(Transacciones[Monto], Transacciones[ID Cliente], 'Saldo a Favor'!$A330, Transacciones[Tipo de Transacción], Listas!$H$5) - SUMIFS(Transacciones[Monto], Transacciones[ID Cliente], 'Saldo a Favor'!$A330, Transacciones[Tipo de Transacción], Listas!$H$3, Transacciones[Forma de Pago], Listas!$K$6))</f>
        <v/>
      </c>
    </row>
    <row r="331">
      <c r="B331" s="48" t="str">
        <f>IF(A331="","", SUMIFS(Transacciones[Monto], Transacciones[ID Cliente], 'Saldo a Favor'!$A331, Transacciones[Tipo de Transacción], Listas!$H$5) - SUMIFS(Transacciones[Monto], Transacciones[ID Cliente], 'Saldo a Favor'!$A331, Transacciones[Tipo de Transacción], Listas!$H$3, Transacciones[Forma de Pago], Listas!$K$6))</f>
        <v/>
      </c>
    </row>
    <row r="332">
      <c r="B332" s="48" t="str">
        <f>IF(A332="","", SUMIFS(Transacciones[Monto], Transacciones[ID Cliente], 'Saldo a Favor'!$A332, Transacciones[Tipo de Transacción], Listas!$H$5) - SUMIFS(Transacciones[Monto], Transacciones[ID Cliente], 'Saldo a Favor'!$A332, Transacciones[Tipo de Transacción], Listas!$H$3, Transacciones[Forma de Pago], Listas!$K$6))</f>
        <v/>
      </c>
    </row>
    <row r="333">
      <c r="B333" s="48" t="str">
        <f>IF(A333="","", SUMIFS(Transacciones[Monto], Transacciones[ID Cliente], 'Saldo a Favor'!$A333, Transacciones[Tipo de Transacción], Listas!$H$5) - SUMIFS(Transacciones[Monto], Transacciones[ID Cliente], 'Saldo a Favor'!$A333, Transacciones[Tipo de Transacción], Listas!$H$3, Transacciones[Forma de Pago], Listas!$K$6))</f>
        <v/>
      </c>
    </row>
    <row r="334">
      <c r="B334" s="48" t="str">
        <f>IF(A334="","", SUMIFS(Transacciones[Monto], Transacciones[ID Cliente], 'Saldo a Favor'!$A334, Transacciones[Tipo de Transacción], Listas!$H$5) - SUMIFS(Transacciones[Monto], Transacciones[ID Cliente], 'Saldo a Favor'!$A334, Transacciones[Tipo de Transacción], Listas!$H$3, Transacciones[Forma de Pago], Listas!$K$6))</f>
        <v/>
      </c>
    </row>
    <row r="335">
      <c r="B335" s="48" t="str">
        <f>IF(A335="","", SUMIFS(Transacciones[Monto], Transacciones[ID Cliente], 'Saldo a Favor'!$A335, Transacciones[Tipo de Transacción], Listas!$H$5) - SUMIFS(Transacciones[Monto], Transacciones[ID Cliente], 'Saldo a Favor'!$A335, Transacciones[Tipo de Transacción], Listas!$H$3, Transacciones[Forma de Pago], Listas!$K$6))</f>
        <v/>
      </c>
    </row>
    <row r="336">
      <c r="B336" s="48" t="str">
        <f>IF(A336="","", SUMIFS(Transacciones[Monto], Transacciones[ID Cliente], 'Saldo a Favor'!$A336, Transacciones[Tipo de Transacción], Listas!$H$5) - SUMIFS(Transacciones[Monto], Transacciones[ID Cliente], 'Saldo a Favor'!$A336, Transacciones[Tipo de Transacción], Listas!$H$3, Transacciones[Forma de Pago], Listas!$K$6))</f>
        <v/>
      </c>
    </row>
    <row r="337">
      <c r="B337" s="48" t="str">
        <f>IF(A337="","", SUMIFS(Transacciones[Monto], Transacciones[ID Cliente], 'Saldo a Favor'!$A337, Transacciones[Tipo de Transacción], Listas!$H$5) - SUMIFS(Transacciones[Monto], Transacciones[ID Cliente], 'Saldo a Favor'!$A337, Transacciones[Tipo de Transacción], Listas!$H$3, Transacciones[Forma de Pago], Listas!$K$6))</f>
        <v/>
      </c>
    </row>
    <row r="338">
      <c r="B338" s="48" t="str">
        <f>IF(A338="","", SUMIFS(Transacciones[Monto], Transacciones[ID Cliente], 'Saldo a Favor'!$A338, Transacciones[Tipo de Transacción], Listas!$H$5) - SUMIFS(Transacciones[Monto], Transacciones[ID Cliente], 'Saldo a Favor'!$A338, Transacciones[Tipo de Transacción], Listas!$H$3, Transacciones[Forma de Pago], Listas!$K$6))</f>
        <v/>
      </c>
    </row>
    <row r="339">
      <c r="B339" s="48" t="str">
        <f>IF(A339="","", SUMIFS(Transacciones[Monto], Transacciones[ID Cliente], 'Saldo a Favor'!$A339, Transacciones[Tipo de Transacción], Listas!$H$5) - SUMIFS(Transacciones[Monto], Transacciones[ID Cliente], 'Saldo a Favor'!$A339, Transacciones[Tipo de Transacción], Listas!$H$3, Transacciones[Forma de Pago], Listas!$K$6))</f>
        <v/>
      </c>
    </row>
    <row r="340">
      <c r="B340" s="48" t="str">
        <f>IF(A340="","", SUMIFS(Transacciones[Monto], Transacciones[ID Cliente], 'Saldo a Favor'!$A340, Transacciones[Tipo de Transacción], Listas!$H$5) - SUMIFS(Transacciones[Monto], Transacciones[ID Cliente], 'Saldo a Favor'!$A340, Transacciones[Tipo de Transacción], Listas!$H$3, Transacciones[Forma de Pago], Listas!$K$6))</f>
        <v/>
      </c>
    </row>
    <row r="341">
      <c r="B341" s="48" t="str">
        <f>IF(A341="","", SUMIFS(Transacciones[Monto], Transacciones[ID Cliente], 'Saldo a Favor'!$A341, Transacciones[Tipo de Transacción], Listas!$H$5) - SUMIFS(Transacciones[Monto], Transacciones[ID Cliente], 'Saldo a Favor'!$A341, Transacciones[Tipo de Transacción], Listas!$H$3, Transacciones[Forma de Pago], Listas!$K$6))</f>
        <v/>
      </c>
    </row>
    <row r="342">
      <c r="B342" s="48" t="str">
        <f>IF(A342="","", SUMIFS(Transacciones[Monto], Transacciones[ID Cliente], 'Saldo a Favor'!$A342, Transacciones[Tipo de Transacción], Listas!$H$5) - SUMIFS(Transacciones[Monto], Transacciones[ID Cliente], 'Saldo a Favor'!$A342, Transacciones[Tipo de Transacción], Listas!$H$3, Transacciones[Forma de Pago], Listas!$K$6))</f>
        <v/>
      </c>
    </row>
    <row r="343">
      <c r="B343" s="48" t="str">
        <f>IF(A343="","", SUMIFS(Transacciones[Monto], Transacciones[ID Cliente], 'Saldo a Favor'!$A343, Transacciones[Tipo de Transacción], Listas!$H$5) - SUMIFS(Transacciones[Monto], Transacciones[ID Cliente], 'Saldo a Favor'!$A343, Transacciones[Tipo de Transacción], Listas!$H$3, Transacciones[Forma de Pago], Listas!$K$6))</f>
        <v/>
      </c>
    </row>
    <row r="344">
      <c r="B344" s="48" t="str">
        <f>IF(A344="","", SUMIFS(Transacciones[Monto], Transacciones[ID Cliente], 'Saldo a Favor'!$A344, Transacciones[Tipo de Transacción], Listas!$H$5) - SUMIFS(Transacciones[Monto], Transacciones[ID Cliente], 'Saldo a Favor'!$A344, Transacciones[Tipo de Transacción], Listas!$H$3, Transacciones[Forma de Pago], Listas!$K$6))</f>
        <v/>
      </c>
    </row>
    <row r="345">
      <c r="B345" s="48" t="str">
        <f>IF(A345="","", SUMIFS(Transacciones[Monto], Transacciones[ID Cliente], 'Saldo a Favor'!$A345, Transacciones[Tipo de Transacción], Listas!$H$5) - SUMIFS(Transacciones[Monto], Transacciones[ID Cliente], 'Saldo a Favor'!$A345, Transacciones[Tipo de Transacción], Listas!$H$3, Transacciones[Forma de Pago], Listas!$K$6))</f>
        <v/>
      </c>
    </row>
    <row r="346">
      <c r="B346" s="48" t="str">
        <f>IF(A346="","", SUMIFS(Transacciones[Monto], Transacciones[ID Cliente], 'Saldo a Favor'!$A346, Transacciones[Tipo de Transacción], Listas!$H$5) - SUMIFS(Transacciones[Monto], Transacciones[ID Cliente], 'Saldo a Favor'!$A346, Transacciones[Tipo de Transacción], Listas!$H$3, Transacciones[Forma de Pago], Listas!$K$6))</f>
        <v/>
      </c>
    </row>
    <row r="347">
      <c r="B347" s="48" t="str">
        <f>IF(A347="","", SUMIFS(Transacciones[Monto], Transacciones[ID Cliente], 'Saldo a Favor'!$A347, Transacciones[Tipo de Transacción], Listas!$H$5) - SUMIFS(Transacciones[Monto], Transacciones[ID Cliente], 'Saldo a Favor'!$A347, Transacciones[Tipo de Transacción], Listas!$H$3, Transacciones[Forma de Pago], Listas!$K$6))</f>
        <v/>
      </c>
    </row>
    <row r="348">
      <c r="B348" s="48" t="str">
        <f>IF(A348="","", SUMIFS(Transacciones[Monto], Transacciones[ID Cliente], 'Saldo a Favor'!$A348, Transacciones[Tipo de Transacción], Listas!$H$5) - SUMIFS(Transacciones[Monto], Transacciones[ID Cliente], 'Saldo a Favor'!$A348, Transacciones[Tipo de Transacción], Listas!$H$3, Transacciones[Forma de Pago], Listas!$K$6))</f>
        <v/>
      </c>
    </row>
    <row r="349">
      <c r="B349" s="48" t="str">
        <f>IF(A349="","", SUMIFS(Transacciones[Monto], Transacciones[ID Cliente], 'Saldo a Favor'!$A349, Transacciones[Tipo de Transacción], Listas!$H$5) - SUMIFS(Transacciones[Monto], Transacciones[ID Cliente], 'Saldo a Favor'!$A349, Transacciones[Tipo de Transacción], Listas!$H$3, Transacciones[Forma de Pago], Listas!$K$6))</f>
        <v/>
      </c>
    </row>
    <row r="350">
      <c r="B350" s="48" t="str">
        <f>IF(A350="","", SUMIFS(Transacciones[Monto], Transacciones[ID Cliente], 'Saldo a Favor'!$A350, Transacciones[Tipo de Transacción], Listas!$H$5) - SUMIFS(Transacciones[Monto], Transacciones[ID Cliente], 'Saldo a Favor'!$A350, Transacciones[Tipo de Transacción], Listas!$H$3, Transacciones[Forma de Pago], Listas!$K$6))</f>
        <v/>
      </c>
    </row>
    <row r="351">
      <c r="B351" s="48" t="str">
        <f>IF(A351="","", SUMIFS(Transacciones[Monto], Transacciones[ID Cliente], 'Saldo a Favor'!$A351, Transacciones[Tipo de Transacción], Listas!$H$5) - SUMIFS(Transacciones[Monto], Transacciones[ID Cliente], 'Saldo a Favor'!$A351, Transacciones[Tipo de Transacción], Listas!$H$3, Transacciones[Forma de Pago], Listas!$K$6))</f>
        <v/>
      </c>
    </row>
    <row r="352">
      <c r="B352" s="48" t="str">
        <f>IF(A352="","", SUMIFS(Transacciones[Monto], Transacciones[ID Cliente], 'Saldo a Favor'!$A352, Transacciones[Tipo de Transacción], Listas!$H$5) - SUMIFS(Transacciones[Monto], Transacciones[ID Cliente], 'Saldo a Favor'!$A352, Transacciones[Tipo de Transacción], Listas!$H$3, Transacciones[Forma de Pago], Listas!$K$6))</f>
        <v/>
      </c>
    </row>
    <row r="353">
      <c r="B353" s="48" t="str">
        <f>IF(A353="","", SUMIFS(Transacciones[Monto], Transacciones[ID Cliente], 'Saldo a Favor'!$A353, Transacciones[Tipo de Transacción], Listas!$H$5) - SUMIFS(Transacciones[Monto], Transacciones[ID Cliente], 'Saldo a Favor'!$A353, Transacciones[Tipo de Transacción], Listas!$H$3, Transacciones[Forma de Pago], Listas!$K$6))</f>
        <v/>
      </c>
    </row>
    <row r="354">
      <c r="B354" s="48" t="str">
        <f>IF(A354="","", SUMIFS(Transacciones[Monto], Transacciones[ID Cliente], 'Saldo a Favor'!$A354, Transacciones[Tipo de Transacción], Listas!$H$5) - SUMIFS(Transacciones[Monto], Transacciones[ID Cliente], 'Saldo a Favor'!$A354, Transacciones[Tipo de Transacción], Listas!$H$3, Transacciones[Forma de Pago], Listas!$K$6))</f>
        <v/>
      </c>
    </row>
    <row r="355">
      <c r="B355" s="48" t="str">
        <f>IF(A355="","", SUMIFS(Transacciones[Monto], Transacciones[ID Cliente], 'Saldo a Favor'!$A355, Transacciones[Tipo de Transacción], Listas!$H$5) - SUMIFS(Transacciones[Monto], Transacciones[ID Cliente], 'Saldo a Favor'!$A355, Transacciones[Tipo de Transacción], Listas!$H$3, Transacciones[Forma de Pago], Listas!$K$6))</f>
        <v/>
      </c>
    </row>
    <row r="356">
      <c r="B356" s="48" t="str">
        <f>IF(A356="","", SUMIFS(Transacciones[Monto], Transacciones[ID Cliente], 'Saldo a Favor'!$A356, Transacciones[Tipo de Transacción], Listas!$H$5) - SUMIFS(Transacciones[Monto], Transacciones[ID Cliente], 'Saldo a Favor'!$A356, Transacciones[Tipo de Transacción], Listas!$H$3, Transacciones[Forma de Pago], Listas!$K$6))</f>
        <v/>
      </c>
    </row>
    <row r="357">
      <c r="B357" s="48" t="str">
        <f>IF(A357="","", SUMIFS(Transacciones[Monto], Transacciones[ID Cliente], 'Saldo a Favor'!$A357, Transacciones[Tipo de Transacción], Listas!$H$5) - SUMIFS(Transacciones[Monto], Transacciones[ID Cliente], 'Saldo a Favor'!$A357, Transacciones[Tipo de Transacción], Listas!$H$3, Transacciones[Forma de Pago], Listas!$K$6))</f>
        <v/>
      </c>
    </row>
    <row r="358">
      <c r="B358" s="48" t="str">
        <f>IF(A358="","", SUMIFS(Transacciones[Monto], Transacciones[ID Cliente], 'Saldo a Favor'!$A358, Transacciones[Tipo de Transacción], Listas!$H$5) - SUMIFS(Transacciones[Monto], Transacciones[ID Cliente], 'Saldo a Favor'!$A358, Transacciones[Tipo de Transacción], Listas!$H$3, Transacciones[Forma de Pago], Listas!$K$6))</f>
        <v/>
      </c>
    </row>
    <row r="359">
      <c r="B359" s="48" t="str">
        <f>IF(A359="","", SUMIFS(Transacciones[Monto], Transacciones[ID Cliente], 'Saldo a Favor'!$A359, Transacciones[Tipo de Transacción], Listas!$H$5) - SUMIFS(Transacciones[Monto], Transacciones[ID Cliente], 'Saldo a Favor'!$A359, Transacciones[Tipo de Transacción], Listas!$H$3, Transacciones[Forma de Pago], Listas!$K$6))</f>
        <v/>
      </c>
    </row>
    <row r="360">
      <c r="B360" s="48" t="str">
        <f>IF(A360="","", SUMIFS(Transacciones[Monto], Transacciones[ID Cliente], 'Saldo a Favor'!$A360, Transacciones[Tipo de Transacción], Listas!$H$5) - SUMIFS(Transacciones[Monto], Transacciones[ID Cliente], 'Saldo a Favor'!$A360, Transacciones[Tipo de Transacción], Listas!$H$3, Transacciones[Forma de Pago], Listas!$K$6))</f>
        <v/>
      </c>
    </row>
    <row r="361">
      <c r="B361" s="48" t="str">
        <f>IF(A361="","", SUMIFS(Transacciones[Monto], Transacciones[ID Cliente], 'Saldo a Favor'!$A361, Transacciones[Tipo de Transacción], Listas!$H$5) - SUMIFS(Transacciones[Monto], Transacciones[ID Cliente], 'Saldo a Favor'!$A361, Transacciones[Tipo de Transacción], Listas!$H$3, Transacciones[Forma de Pago], Listas!$K$6))</f>
        <v/>
      </c>
    </row>
    <row r="362">
      <c r="B362" s="48" t="str">
        <f>IF(A362="","", SUMIFS(Transacciones[Monto], Transacciones[ID Cliente], 'Saldo a Favor'!$A362, Transacciones[Tipo de Transacción], Listas!$H$5) - SUMIFS(Transacciones[Monto], Transacciones[ID Cliente], 'Saldo a Favor'!$A362, Transacciones[Tipo de Transacción], Listas!$H$3, Transacciones[Forma de Pago], Listas!$K$6))</f>
        <v/>
      </c>
    </row>
    <row r="363">
      <c r="B363" s="48" t="str">
        <f>IF(A363="","", SUMIFS(Transacciones[Monto], Transacciones[ID Cliente], 'Saldo a Favor'!$A363, Transacciones[Tipo de Transacción], Listas!$H$5) - SUMIFS(Transacciones[Monto], Transacciones[ID Cliente], 'Saldo a Favor'!$A363, Transacciones[Tipo de Transacción], Listas!$H$3, Transacciones[Forma de Pago], Listas!$K$6))</f>
        <v/>
      </c>
    </row>
    <row r="364">
      <c r="B364" s="48" t="str">
        <f>IF(A364="","", SUMIFS(Transacciones[Monto], Transacciones[ID Cliente], 'Saldo a Favor'!$A364, Transacciones[Tipo de Transacción], Listas!$H$5) - SUMIFS(Transacciones[Monto], Transacciones[ID Cliente], 'Saldo a Favor'!$A364, Transacciones[Tipo de Transacción], Listas!$H$3, Transacciones[Forma de Pago], Listas!$K$6))</f>
        <v/>
      </c>
    </row>
    <row r="365">
      <c r="B365" s="48" t="str">
        <f>IF(A365="","", SUMIFS(Transacciones[Monto], Transacciones[ID Cliente], 'Saldo a Favor'!$A365, Transacciones[Tipo de Transacción], Listas!$H$5) - SUMIFS(Transacciones[Monto], Transacciones[ID Cliente], 'Saldo a Favor'!$A365, Transacciones[Tipo de Transacción], Listas!$H$3, Transacciones[Forma de Pago], Listas!$K$6))</f>
        <v/>
      </c>
    </row>
    <row r="366">
      <c r="B366" s="48" t="str">
        <f>IF(A366="","", SUMIFS(Transacciones[Monto], Transacciones[ID Cliente], 'Saldo a Favor'!$A366, Transacciones[Tipo de Transacción], Listas!$H$5) - SUMIFS(Transacciones[Monto], Transacciones[ID Cliente], 'Saldo a Favor'!$A366, Transacciones[Tipo de Transacción], Listas!$H$3, Transacciones[Forma de Pago], Listas!$K$6))</f>
        <v/>
      </c>
    </row>
    <row r="367">
      <c r="B367" s="48" t="str">
        <f>IF(A367="","", SUMIFS(Transacciones[Monto], Transacciones[ID Cliente], 'Saldo a Favor'!$A367, Transacciones[Tipo de Transacción], Listas!$H$5) - SUMIFS(Transacciones[Monto], Transacciones[ID Cliente], 'Saldo a Favor'!$A367, Transacciones[Tipo de Transacción], Listas!$H$3, Transacciones[Forma de Pago], Listas!$K$6))</f>
        <v/>
      </c>
    </row>
    <row r="368">
      <c r="B368" s="48" t="str">
        <f>IF(A368="","", SUMIFS(Transacciones[Monto], Transacciones[ID Cliente], 'Saldo a Favor'!$A368, Transacciones[Tipo de Transacción], Listas!$H$5) - SUMIFS(Transacciones[Monto], Transacciones[ID Cliente], 'Saldo a Favor'!$A368, Transacciones[Tipo de Transacción], Listas!$H$3, Transacciones[Forma de Pago], Listas!$K$6))</f>
        <v/>
      </c>
    </row>
    <row r="369">
      <c r="B369" s="48" t="str">
        <f>IF(A369="","", SUMIFS(Transacciones[Monto], Transacciones[ID Cliente], 'Saldo a Favor'!$A369, Transacciones[Tipo de Transacción], Listas!$H$5) - SUMIFS(Transacciones[Monto], Transacciones[ID Cliente], 'Saldo a Favor'!$A369, Transacciones[Tipo de Transacción], Listas!$H$3, Transacciones[Forma de Pago], Listas!$K$6))</f>
        <v/>
      </c>
    </row>
    <row r="370">
      <c r="B370" s="48" t="str">
        <f>IF(A370="","", SUMIFS(Transacciones[Monto], Transacciones[ID Cliente], 'Saldo a Favor'!$A370, Transacciones[Tipo de Transacción], Listas!$H$5) - SUMIFS(Transacciones[Monto], Transacciones[ID Cliente], 'Saldo a Favor'!$A370, Transacciones[Tipo de Transacción], Listas!$H$3, Transacciones[Forma de Pago], Listas!$K$6))</f>
        <v/>
      </c>
    </row>
    <row r="371">
      <c r="B371" s="48" t="str">
        <f>IF(A371="","", SUMIFS(Transacciones[Monto], Transacciones[ID Cliente], 'Saldo a Favor'!$A371, Transacciones[Tipo de Transacción], Listas!$H$5) - SUMIFS(Transacciones[Monto], Transacciones[ID Cliente], 'Saldo a Favor'!$A371, Transacciones[Tipo de Transacción], Listas!$H$3, Transacciones[Forma de Pago], Listas!$K$6))</f>
        <v/>
      </c>
    </row>
    <row r="372">
      <c r="B372" s="48" t="str">
        <f>IF(A372="","", SUMIFS(Transacciones[Monto], Transacciones[ID Cliente], 'Saldo a Favor'!$A372, Transacciones[Tipo de Transacción], Listas!$H$5) - SUMIFS(Transacciones[Monto], Transacciones[ID Cliente], 'Saldo a Favor'!$A372, Transacciones[Tipo de Transacción], Listas!$H$3, Transacciones[Forma de Pago], Listas!$K$6))</f>
        <v/>
      </c>
    </row>
    <row r="373">
      <c r="B373" s="48" t="str">
        <f>IF(A373="","", SUMIFS(Transacciones[Monto], Transacciones[ID Cliente], 'Saldo a Favor'!$A373, Transacciones[Tipo de Transacción], Listas!$H$5) - SUMIFS(Transacciones[Monto], Transacciones[ID Cliente], 'Saldo a Favor'!$A373, Transacciones[Tipo de Transacción], Listas!$H$3, Transacciones[Forma de Pago], Listas!$K$6))</f>
        <v/>
      </c>
    </row>
    <row r="374">
      <c r="B374" s="48" t="str">
        <f>IF(A374="","", SUMIFS(Transacciones[Monto], Transacciones[ID Cliente], 'Saldo a Favor'!$A374, Transacciones[Tipo de Transacción], Listas!$H$5) - SUMIFS(Transacciones[Monto], Transacciones[ID Cliente], 'Saldo a Favor'!$A374, Transacciones[Tipo de Transacción], Listas!$H$3, Transacciones[Forma de Pago], Listas!$K$6))</f>
        <v/>
      </c>
    </row>
    <row r="375">
      <c r="B375" s="48" t="str">
        <f>IF(A375="","", SUMIFS(Transacciones[Monto], Transacciones[ID Cliente], 'Saldo a Favor'!$A375, Transacciones[Tipo de Transacción], Listas!$H$5) - SUMIFS(Transacciones[Monto], Transacciones[ID Cliente], 'Saldo a Favor'!$A375, Transacciones[Tipo de Transacción], Listas!$H$3, Transacciones[Forma de Pago], Listas!$K$6))</f>
        <v/>
      </c>
    </row>
    <row r="376">
      <c r="B376" s="48" t="str">
        <f>IF(A376="","", SUMIFS(Transacciones[Monto], Transacciones[ID Cliente], 'Saldo a Favor'!$A376, Transacciones[Tipo de Transacción], Listas!$H$5) - SUMIFS(Transacciones[Monto], Transacciones[ID Cliente], 'Saldo a Favor'!$A376, Transacciones[Tipo de Transacción], Listas!$H$3, Transacciones[Forma de Pago], Listas!$K$6))</f>
        <v/>
      </c>
    </row>
    <row r="377">
      <c r="B377" s="48" t="str">
        <f>IF(A377="","", SUMIFS(Transacciones[Monto], Transacciones[ID Cliente], 'Saldo a Favor'!$A377, Transacciones[Tipo de Transacción], Listas!$H$5) - SUMIFS(Transacciones[Monto], Transacciones[ID Cliente], 'Saldo a Favor'!$A377, Transacciones[Tipo de Transacción], Listas!$H$3, Transacciones[Forma de Pago], Listas!$K$6))</f>
        <v/>
      </c>
    </row>
    <row r="378">
      <c r="B378" s="48" t="str">
        <f>IF(A378="","", SUMIFS(Transacciones[Monto], Transacciones[ID Cliente], 'Saldo a Favor'!$A378, Transacciones[Tipo de Transacción], Listas!$H$5) - SUMIFS(Transacciones[Monto], Transacciones[ID Cliente], 'Saldo a Favor'!$A378, Transacciones[Tipo de Transacción], Listas!$H$3, Transacciones[Forma de Pago], Listas!$K$6))</f>
        <v/>
      </c>
    </row>
    <row r="379">
      <c r="B379" s="48" t="str">
        <f>IF(A379="","", SUMIFS(Transacciones[Monto], Transacciones[ID Cliente], 'Saldo a Favor'!$A379, Transacciones[Tipo de Transacción], Listas!$H$5) - SUMIFS(Transacciones[Monto], Transacciones[ID Cliente], 'Saldo a Favor'!$A379, Transacciones[Tipo de Transacción], Listas!$H$3, Transacciones[Forma de Pago], Listas!$K$6))</f>
        <v/>
      </c>
    </row>
    <row r="380">
      <c r="B380" s="48" t="str">
        <f>IF(A380="","", SUMIFS(Transacciones[Monto], Transacciones[ID Cliente], 'Saldo a Favor'!$A380, Transacciones[Tipo de Transacción], Listas!$H$5) - SUMIFS(Transacciones[Monto], Transacciones[ID Cliente], 'Saldo a Favor'!$A380, Transacciones[Tipo de Transacción], Listas!$H$3, Transacciones[Forma de Pago], Listas!$K$6))</f>
        <v/>
      </c>
    </row>
    <row r="381">
      <c r="B381" s="48" t="str">
        <f>IF(A381="","", SUMIFS(Transacciones[Monto], Transacciones[ID Cliente], 'Saldo a Favor'!$A381, Transacciones[Tipo de Transacción], Listas!$H$5) - SUMIFS(Transacciones[Monto], Transacciones[ID Cliente], 'Saldo a Favor'!$A381, Transacciones[Tipo de Transacción], Listas!$H$3, Transacciones[Forma de Pago], Listas!$K$6))</f>
        <v/>
      </c>
    </row>
    <row r="382">
      <c r="B382" s="48" t="str">
        <f>IF(A382="","", SUMIFS(Transacciones[Monto], Transacciones[ID Cliente], 'Saldo a Favor'!$A382, Transacciones[Tipo de Transacción], Listas!$H$5) - SUMIFS(Transacciones[Monto], Transacciones[ID Cliente], 'Saldo a Favor'!$A382, Transacciones[Tipo de Transacción], Listas!$H$3, Transacciones[Forma de Pago], Listas!$K$6))</f>
        <v/>
      </c>
    </row>
    <row r="383">
      <c r="B383" s="48" t="str">
        <f>IF(A383="","", SUMIFS(Transacciones[Monto], Transacciones[ID Cliente], 'Saldo a Favor'!$A383, Transacciones[Tipo de Transacción], Listas!$H$5) - SUMIFS(Transacciones[Monto], Transacciones[ID Cliente], 'Saldo a Favor'!$A383, Transacciones[Tipo de Transacción], Listas!$H$3, Transacciones[Forma de Pago], Listas!$K$6))</f>
        <v/>
      </c>
    </row>
    <row r="384">
      <c r="B384" s="48" t="str">
        <f>IF(A384="","", SUMIFS(Transacciones[Monto], Transacciones[ID Cliente], 'Saldo a Favor'!$A384, Transacciones[Tipo de Transacción], Listas!$H$5) - SUMIFS(Transacciones[Monto], Transacciones[ID Cliente], 'Saldo a Favor'!$A384, Transacciones[Tipo de Transacción], Listas!$H$3, Transacciones[Forma de Pago], Listas!$K$6))</f>
        <v/>
      </c>
    </row>
    <row r="385">
      <c r="B385" s="48" t="str">
        <f>IF(A385="","", SUMIFS(Transacciones[Monto], Transacciones[ID Cliente], 'Saldo a Favor'!$A385, Transacciones[Tipo de Transacción], Listas!$H$5) - SUMIFS(Transacciones[Monto], Transacciones[ID Cliente], 'Saldo a Favor'!$A385, Transacciones[Tipo de Transacción], Listas!$H$3, Transacciones[Forma de Pago], Listas!$K$6))</f>
        <v/>
      </c>
    </row>
    <row r="386">
      <c r="B386" s="48" t="str">
        <f>IF(A386="","", SUMIFS(Transacciones[Monto], Transacciones[ID Cliente], 'Saldo a Favor'!$A386, Transacciones[Tipo de Transacción], Listas!$H$5) - SUMIFS(Transacciones[Monto], Transacciones[ID Cliente], 'Saldo a Favor'!$A386, Transacciones[Tipo de Transacción], Listas!$H$3, Transacciones[Forma de Pago], Listas!$K$6))</f>
        <v/>
      </c>
    </row>
    <row r="387">
      <c r="B387" s="48" t="str">
        <f>IF(A387="","", SUMIFS(Transacciones[Monto], Transacciones[ID Cliente], 'Saldo a Favor'!$A387, Transacciones[Tipo de Transacción], Listas!$H$5) - SUMIFS(Transacciones[Monto], Transacciones[ID Cliente], 'Saldo a Favor'!$A387, Transacciones[Tipo de Transacción], Listas!$H$3, Transacciones[Forma de Pago], Listas!$K$6))</f>
        <v/>
      </c>
    </row>
    <row r="388">
      <c r="B388" s="48" t="str">
        <f>IF(A388="","", SUMIFS(Transacciones[Monto], Transacciones[ID Cliente], 'Saldo a Favor'!$A388, Transacciones[Tipo de Transacción], Listas!$H$5) - SUMIFS(Transacciones[Monto], Transacciones[ID Cliente], 'Saldo a Favor'!$A388, Transacciones[Tipo de Transacción], Listas!$H$3, Transacciones[Forma de Pago], Listas!$K$6))</f>
        <v/>
      </c>
    </row>
    <row r="389">
      <c r="B389" s="48" t="str">
        <f>IF(A389="","", SUMIFS(Transacciones[Monto], Transacciones[ID Cliente], 'Saldo a Favor'!$A389, Transacciones[Tipo de Transacción], Listas!$H$5) - SUMIFS(Transacciones[Monto], Transacciones[ID Cliente], 'Saldo a Favor'!$A389, Transacciones[Tipo de Transacción], Listas!$H$3, Transacciones[Forma de Pago], Listas!$K$6))</f>
        <v/>
      </c>
    </row>
    <row r="390">
      <c r="B390" s="48" t="str">
        <f>IF(A390="","", SUMIFS(Transacciones[Monto], Transacciones[ID Cliente], 'Saldo a Favor'!$A390, Transacciones[Tipo de Transacción], Listas!$H$5) - SUMIFS(Transacciones[Monto], Transacciones[ID Cliente], 'Saldo a Favor'!$A390, Transacciones[Tipo de Transacción], Listas!$H$3, Transacciones[Forma de Pago], Listas!$K$6))</f>
        <v/>
      </c>
    </row>
    <row r="391">
      <c r="B391" s="48" t="str">
        <f>IF(A391="","", SUMIFS(Transacciones[Monto], Transacciones[ID Cliente], 'Saldo a Favor'!$A391, Transacciones[Tipo de Transacción], Listas!$H$5) - SUMIFS(Transacciones[Monto], Transacciones[ID Cliente], 'Saldo a Favor'!$A391, Transacciones[Tipo de Transacción], Listas!$H$3, Transacciones[Forma de Pago], Listas!$K$6))</f>
        <v/>
      </c>
    </row>
    <row r="392">
      <c r="B392" s="48" t="str">
        <f>IF(A392="","", SUMIFS(Transacciones[Monto], Transacciones[ID Cliente], 'Saldo a Favor'!$A392, Transacciones[Tipo de Transacción], Listas!$H$5) - SUMIFS(Transacciones[Monto], Transacciones[ID Cliente], 'Saldo a Favor'!$A392, Transacciones[Tipo de Transacción], Listas!$H$3, Transacciones[Forma de Pago], Listas!$K$6))</f>
        <v/>
      </c>
    </row>
    <row r="393">
      <c r="B393" s="48" t="str">
        <f>IF(A393="","", SUMIFS(Transacciones[Monto], Transacciones[ID Cliente], 'Saldo a Favor'!$A393, Transacciones[Tipo de Transacción], Listas!$H$5) - SUMIFS(Transacciones[Monto], Transacciones[ID Cliente], 'Saldo a Favor'!$A393, Transacciones[Tipo de Transacción], Listas!$H$3, Transacciones[Forma de Pago], Listas!$K$6))</f>
        <v/>
      </c>
    </row>
    <row r="394">
      <c r="B394" s="48" t="str">
        <f>IF(A394="","", SUMIFS(Transacciones[Monto], Transacciones[ID Cliente], 'Saldo a Favor'!$A394, Transacciones[Tipo de Transacción], Listas!$H$5) - SUMIFS(Transacciones[Monto], Transacciones[ID Cliente], 'Saldo a Favor'!$A394, Transacciones[Tipo de Transacción], Listas!$H$3, Transacciones[Forma de Pago], Listas!$K$6))</f>
        <v/>
      </c>
    </row>
    <row r="395">
      <c r="B395" s="48" t="str">
        <f>IF(A395="","", SUMIFS(Transacciones[Monto], Transacciones[ID Cliente], 'Saldo a Favor'!$A395, Transacciones[Tipo de Transacción], Listas!$H$5) - SUMIFS(Transacciones[Monto], Transacciones[ID Cliente], 'Saldo a Favor'!$A395, Transacciones[Tipo de Transacción], Listas!$H$3, Transacciones[Forma de Pago], Listas!$K$6))</f>
        <v/>
      </c>
    </row>
    <row r="396">
      <c r="B396" s="48" t="str">
        <f>IF(A396="","", SUMIFS(Transacciones[Monto], Transacciones[ID Cliente], 'Saldo a Favor'!$A396, Transacciones[Tipo de Transacción], Listas!$H$5) - SUMIFS(Transacciones[Monto], Transacciones[ID Cliente], 'Saldo a Favor'!$A396, Transacciones[Tipo de Transacción], Listas!$H$3, Transacciones[Forma de Pago], Listas!$K$6))</f>
        <v/>
      </c>
    </row>
    <row r="397">
      <c r="B397" s="48" t="str">
        <f>IF(A397="","", SUMIFS(Transacciones[Monto], Transacciones[ID Cliente], 'Saldo a Favor'!$A397, Transacciones[Tipo de Transacción], Listas!$H$5) - SUMIFS(Transacciones[Monto], Transacciones[ID Cliente], 'Saldo a Favor'!$A397, Transacciones[Tipo de Transacción], Listas!$H$3, Transacciones[Forma de Pago], Listas!$K$6))</f>
        <v/>
      </c>
    </row>
    <row r="398">
      <c r="B398" s="48" t="str">
        <f>IF(A398="","", SUMIFS(Transacciones[Monto], Transacciones[ID Cliente], 'Saldo a Favor'!$A398, Transacciones[Tipo de Transacción], Listas!$H$5) - SUMIFS(Transacciones[Monto], Transacciones[ID Cliente], 'Saldo a Favor'!$A398, Transacciones[Tipo de Transacción], Listas!$H$3, Transacciones[Forma de Pago], Listas!$K$6))</f>
        <v/>
      </c>
    </row>
    <row r="399">
      <c r="B399" s="48" t="str">
        <f>IF(A399="","", SUMIFS(Transacciones[Monto], Transacciones[ID Cliente], 'Saldo a Favor'!$A399, Transacciones[Tipo de Transacción], Listas!$H$5) - SUMIFS(Transacciones[Monto], Transacciones[ID Cliente], 'Saldo a Favor'!$A399, Transacciones[Tipo de Transacción], Listas!$H$3, Transacciones[Forma de Pago], Listas!$K$6))</f>
        <v/>
      </c>
    </row>
    <row r="400">
      <c r="B400" s="48" t="str">
        <f>IF(A400="","", SUMIFS(Transacciones[Monto], Transacciones[ID Cliente], 'Saldo a Favor'!$A400, Transacciones[Tipo de Transacción], Listas!$H$5) - SUMIFS(Transacciones[Monto], Transacciones[ID Cliente], 'Saldo a Favor'!$A400, Transacciones[Tipo de Transacción], Listas!$H$3, Transacciones[Forma de Pago], Listas!$K$6))</f>
        <v/>
      </c>
    </row>
    <row r="401">
      <c r="B401" s="48" t="str">
        <f>IF(A401="","", SUMIFS(Transacciones[Monto], Transacciones[ID Cliente], 'Saldo a Favor'!$A401, Transacciones[Tipo de Transacción], Listas!$H$5) - SUMIFS(Transacciones[Monto], Transacciones[ID Cliente], 'Saldo a Favor'!$A401, Transacciones[Tipo de Transacción], Listas!$H$3, Transacciones[Forma de Pago], Listas!$K$6))</f>
        <v/>
      </c>
    </row>
    <row r="402">
      <c r="B402" s="48" t="str">
        <f>IF(A402="","", SUMIFS(Transacciones[Monto], Transacciones[ID Cliente], 'Saldo a Favor'!$A402, Transacciones[Tipo de Transacción], Listas!$H$5) - SUMIFS(Transacciones[Monto], Transacciones[ID Cliente], 'Saldo a Favor'!$A402, Transacciones[Tipo de Transacción], Listas!$H$3, Transacciones[Forma de Pago], Listas!$K$6))</f>
        <v/>
      </c>
    </row>
    <row r="403">
      <c r="B403" s="48" t="str">
        <f>IF(A403="","", SUMIFS(Transacciones[Monto], Transacciones[ID Cliente], 'Saldo a Favor'!$A403, Transacciones[Tipo de Transacción], Listas!$H$5) - SUMIFS(Transacciones[Monto], Transacciones[ID Cliente], 'Saldo a Favor'!$A403, Transacciones[Tipo de Transacción], Listas!$H$3, Transacciones[Forma de Pago], Listas!$K$6))</f>
        <v/>
      </c>
    </row>
    <row r="404">
      <c r="B404" s="48" t="str">
        <f>IF(A404="","", SUMIFS(Transacciones[Monto], Transacciones[ID Cliente], 'Saldo a Favor'!$A404, Transacciones[Tipo de Transacción], Listas!$H$5) - SUMIFS(Transacciones[Monto], Transacciones[ID Cliente], 'Saldo a Favor'!$A404, Transacciones[Tipo de Transacción], Listas!$H$3, Transacciones[Forma de Pago], Listas!$K$6))</f>
        <v/>
      </c>
    </row>
    <row r="405">
      <c r="B405" s="48" t="str">
        <f>IF(A405="","", SUMIFS(Transacciones[Monto], Transacciones[ID Cliente], 'Saldo a Favor'!$A405, Transacciones[Tipo de Transacción], Listas!$H$5) - SUMIFS(Transacciones[Monto], Transacciones[ID Cliente], 'Saldo a Favor'!$A405, Transacciones[Tipo de Transacción], Listas!$H$3, Transacciones[Forma de Pago], Listas!$K$6))</f>
        <v/>
      </c>
    </row>
    <row r="406">
      <c r="B406" s="48" t="str">
        <f>IF(A406="","", SUMIFS(Transacciones[Monto], Transacciones[ID Cliente], 'Saldo a Favor'!$A406, Transacciones[Tipo de Transacción], Listas!$H$5) - SUMIFS(Transacciones[Monto], Transacciones[ID Cliente], 'Saldo a Favor'!$A406, Transacciones[Tipo de Transacción], Listas!$H$3, Transacciones[Forma de Pago], Listas!$K$6))</f>
        <v/>
      </c>
    </row>
    <row r="407">
      <c r="B407" s="48" t="str">
        <f>IF(A407="","", SUMIFS(Transacciones[Monto], Transacciones[ID Cliente], 'Saldo a Favor'!$A407, Transacciones[Tipo de Transacción], Listas!$H$5) - SUMIFS(Transacciones[Monto], Transacciones[ID Cliente], 'Saldo a Favor'!$A407, Transacciones[Tipo de Transacción], Listas!$H$3, Transacciones[Forma de Pago], Listas!$K$6))</f>
        <v/>
      </c>
    </row>
    <row r="408">
      <c r="B408" s="48" t="str">
        <f>IF(A408="","", SUMIFS(Transacciones[Monto], Transacciones[ID Cliente], 'Saldo a Favor'!$A408, Transacciones[Tipo de Transacción], Listas!$H$5) - SUMIFS(Transacciones[Monto], Transacciones[ID Cliente], 'Saldo a Favor'!$A408, Transacciones[Tipo de Transacción], Listas!$H$3, Transacciones[Forma de Pago], Listas!$K$6))</f>
        <v/>
      </c>
    </row>
    <row r="409">
      <c r="B409" s="48" t="str">
        <f>IF(A409="","", SUMIFS(Transacciones[Monto], Transacciones[ID Cliente], 'Saldo a Favor'!$A409, Transacciones[Tipo de Transacción], Listas!$H$5) - SUMIFS(Transacciones[Monto], Transacciones[ID Cliente], 'Saldo a Favor'!$A409, Transacciones[Tipo de Transacción], Listas!$H$3, Transacciones[Forma de Pago], Listas!$K$6))</f>
        <v/>
      </c>
    </row>
    <row r="410">
      <c r="B410" s="48" t="str">
        <f>IF(A410="","", SUMIFS(Transacciones[Monto], Transacciones[ID Cliente], 'Saldo a Favor'!$A410, Transacciones[Tipo de Transacción], Listas!$H$5) - SUMIFS(Transacciones[Monto], Transacciones[ID Cliente], 'Saldo a Favor'!$A410, Transacciones[Tipo de Transacción], Listas!$H$3, Transacciones[Forma de Pago], Listas!$K$6))</f>
        <v/>
      </c>
    </row>
    <row r="411">
      <c r="B411" s="48" t="str">
        <f>IF(A411="","", SUMIFS(Transacciones[Monto], Transacciones[ID Cliente], 'Saldo a Favor'!$A411, Transacciones[Tipo de Transacción], Listas!$H$5) - SUMIFS(Transacciones[Monto], Transacciones[ID Cliente], 'Saldo a Favor'!$A411, Transacciones[Tipo de Transacción], Listas!$H$3, Transacciones[Forma de Pago], Listas!$K$6))</f>
        <v/>
      </c>
    </row>
    <row r="412">
      <c r="B412" s="48" t="str">
        <f>IF(A412="","", SUMIFS(Transacciones[Monto], Transacciones[ID Cliente], 'Saldo a Favor'!$A412, Transacciones[Tipo de Transacción], Listas!$H$5) - SUMIFS(Transacciones[Monto], Transacciones[ID Cliente], 'Saldo a Favor'!$A412, Transacciones[Tipo de Transacción], Listas!$H$3, Transacciones[Forma de Pago], Listas!$K$6))</f>
        <v/>
      </c>
    </row>
    <row r="413">
      <c r="B413" s="48" t="str">
        <f>IF(A413="","", SUMIFS(Transacciones[Monto], Transacciones[ID Cliente], 'Saldo a Favor'!$A413, Transacciones[Tipo de Transacción], Listas!$H$5) - SUMIFS(Transacciones[Monto], Transacciones[ID Cliente], 'Saldo a Favor'!$A413, Transacciones[Tipo de Transacción], Listas!$H$3, Transacciones[Forma de Pago], Listas!$K$6))</f>
        <v/>
      </c>
    </row>
    <row r="414">
      <c r="B414" s="48" t="str">
        <f>IF(A414="","", SUMIFS(Transacciones[Monto], Transacciones[ID Cliente], 'Saldo a Favor'!$A414, Transacciones[Tipo de Transacción], Listas!$H$5) - SUMIFS(Transacciones[Monto], Transacciones[ID Cliente], 'Saldo a Favor'!$A414, Transacciones[Tipo de Transacción], Listas!$H$3, Transacciones[Forma de Pago], Listas!$K$6))</f>
        <v/>
      </c>
    </row>
    <row r="415">
      <c r="B415" s="48" t="str">
        <f>IF(A415="","", SUMIFS(Transacciones[Monto], Transacciones[ID Cliente], 'Saldo a Favor'!$A415, Transacciones[Tipo de Transacción], Listas!$H$5) - SUMIFS(Transacciones[Monto], Transacciones[ID Cliente], 'Saldo a Favor'!$A415, Transacciones[Tipo de Transacción], Listas!$H$3, Transacciones[Forma de Pago], Listas!$K$6))</f>
        <v/>
      </c>
    </row>
    <row r="416">
      <c r="B416" s="48" t="str">
        <f>IF(A416="","", SUMIFS(Transacciones[Monto], Transacciones[ID Cliente], 'Saldo a Favor'!$A416, Transacciones[Tipo de Transacción], Listas!$H$5) - SUMIFS(Transacciones[Monto], Transacciones[ID Cliente], 'Saldo a Favor'!$A416, Transacciones[Tipo de Transacción], Listas!$H$3, Transacciones[Forma de Pago], Listas!$K$6))</f>
        <v/>
      </c>
    </row>
    <row r="417">
      <c r="B417" s="48" t="str">
        <f>IF(A417="","", SUMIFS(Transacciones[Monto], Transacciones[ID Cliente], 'Saldo a Favor'!$A417, Transacciones[Tipo de Transacción], Listas!$H$5) - SUMIFS(Transacciones[Monto], Transacciones[ID Cliente], 'Saldo a Favor'!$A417, Transacciones[Tipo de Transacción], Listas!$H$3, Transacciones[Forma de Pago], Listas!$K$6))</f>
        <v/>
      </c>
    </row>
    <row r="418">
      <c r="B418" s="48" t="str">
        <f>IF(A418="","", SUMIFS(Transacciones[Monto], Transacciones[ID Cliente], 'Saldo a Favor'!$A418, Transacciones[Tipo de Transacción], Listas!$H$5) - SUMIFS(Transacciones[Monto], Transacciones[ID Cliente], 'Saldo a Favor'!$A418, Transacciones[Tipo de Transacción], Listas!$H$3, Transacciones[Forma de Pago], Listas!$K$6))</f>
        <v/>
      </c>
    </row>
    <row r="419">
      <c r="B419" s="48" t="str">
        <f>IF(A419="","", SUMIFS(Transacciones[Monto], Transacciones[ID Cliente], 'Saldo a Favor'!$A419, Transacciones[Tipo de Transacción], Listas!$H$5) - SUMIFS(Transacciones[Monto], Transacciones[ID Cliente], 'Saldo a Favor'!$A419, Transacciones[Tipo de Transacción], Listas!$H$3, Transacciones[Forma de Pago], Listas!$K$6))</f>
        <v/>
      </c>
    </row>
    <row r="420">
      <c r="B420" s="48" t="str">
        <f>IF(A420="","", SUMIFS(Transacciones[Monto], Transacciones[ID Cliente], 'Saldo a Favor'!$A420, Transacciones[Tipo de Transacción], Listas!$H$5) - SUMIFS(Transacciones[Monto], Transacciones[ID Cliente], 'Saldo a Favor'!$A420, Transacciones[Tipo de Transacción], Listas!$H$3, Transacciones[Forma de Pago], Listas!$K$6))</f>
        <v/>
      </c>
    </row>
    <row r="421">
      <c r="B421" s="48" t="str">
        <f>IF(A421="","", SUMIFS(Transacciones[Monto], Transacciones[ID Cliente], 'Saldo a Favor'!$A421, Transacciones[Tipo de Transacción], Listas!$H$5) - SUMIFS(Transacciones[Monto], Transacciones[ID Cliente], 'Saldo a Favor'!$A421, Transacciones[Tipo de Transacción], Listas!$H$3, Transacciones[Forma de Pago], Listas!$K$6))</f>
        <v/>
      </c>
    </row>
    <row r="422">
      <c r="B422" s="48" t="str">
        <f>IF(A422="","", SUMIFS(Transacciones[Monto], Transacciones[ID Cliente], 'Saldo a Favor'!$A422, Transacciones[Tipo de Transacción], Listas!$H$5) - SUMIFS(Transacciones[Monto], Transacciones[ID Cliente], 'Saldo a Favor'!$A422, Transacciones[Tipo de Transacción], Listas!$H$3, Transacciones[Forma de Pago], Listas!$K$6))</f>
        <v/>
      </c>
    </row>
    <row r="423">
      <c r="B423" s="48" t="str">
        <f>IF(A423="","", SUMIFS(Transacciones[Monto], Transacciones[ID Cliente], 'Saldo a Favor'!$A423, Transacciones[Tipo de Transacción], Listas!$H$5) - SUMIFS(Transacciones[Monto], Transacciones[ID Cliente], 'Saldo a Favor'!$A423, Transacciones[Tipo de Transacción], Listas!$H$3, Transacciones[Forma de Pago], Listas!$K$6))</f>
        <v/>
      </c>
    </row>
    <row r="424">
      <c r="B424" s="48" t="str">
        <f>IF(A424="","", SUMIFS(Transacciones[Monto], Transacciones[ID Cliente], 'Saldo a Favor'!$A424, Transacciones[Tipo de Transacción], Listas!$H$5) - SUMIFS(Transacciones[Monto], Transacciones[ID Cliente], 'Saldo a Favor'!$A424, Transacciones[Tipo de Transacción], Listas!$H$3, Transacciones[Forma de Pago], Listas!$K$6))</f>
        <v/>
      </c>
    </row>
    <row r="425">
      <c r="B425" s="48" t="str">
        <f>IF(A425="","", SUMIFS(Transacciones[Monto], Transacciones[ID Cliente], 'Saldo a Favor'!$A425, Transacciones[Tipo de Transacción], Listas!$H$5) - SUMIFS(Transacciones[Monto], Transacciones[ID Cliente], 'Saldo a Favor'!$A425, Transacciones[Tipo de Transacción], Listas!$H$3, Transacciones[Forma de Pago], Listas!$K$6))</f>
        <v/>
      </c>
    </row>
    <row r="426">
      <c r="B426" s="48" t="str">
        <f>IF(A426="","", SUMIFS(Transacciones[Monto], Transacciones[ID Cliente], 'Saldo a Favor'!$A426, Transacciones[Tipo de Transacción], Listas!$H$5) - SUMIFS(Transacciones[Monto], Transacciones[ID Cliente], 'Saldo a Favor'!$A426, Transacciones[Tipo de Transacción], Listas!$H$3, Transacciones[Forma de Pago], Listas!$K$6))</f>
        <v/>
      </c>
    </row>
    <row r="427">
      <c r="B427" s="48" t="str">
        <f>IF(A427="","", SUMIFS(Transacciones[Monto], Transacciones[ID Cliente], 'Saldo a Favor'!$A427, Transacciones[Tipo de Transacción], Listas!$H$5) - SUMIFS(Transacciones[Monto], Transacciones[ID Cliente], 'Saldo a Favor'!$A427, Transacciones[Tipo de Transacción], Listas!$H$3, Transacciones[Forma de Pago], Listas!$K$6))</f>
        <v/>
      </c>
    </row>
    <row r="428">
      <c r="B428" s="48" t="str">
        <f>IF(A428="","", SUMIFS(Transacciones[Monto], Transacciones[ID Cliente], 'Saldo a Favor'!$A428, Transacciones[Tipo de Transacción], Listas!$H$5) - SUMIFS(Transacciones[Monto], Transacciones[ID Cliente], 'Saldo a Favor'!$A428, Transacciones[Tipo de Transacción], Listas!$H$3, Transacciones[Forma de Pago], Listas!$K$6))</f>
        <v/>
      </c>
    </row>
    <row r="429">
      <c r="B429" s="48" t="str">
        <f>IF(A429="","", SUMIFS(Transacciones[Monto], Transacciones[ID Cliente], 'Saldo a Favor'!$A429, Transacciones[Tipo de Transacción], Listas!$H$5) - SUMIFS(Transacciones[Monto], Transacciones[ID Cliente], 'Saldo a Favor'!$A429, Transacciones[Tipo de Transacción], Listas!$H$3, Transacciones[Forma de Pago], Listas!$K$6))</f>
        <v/>
      </c>
    </row>
    <row r="430">
      <c r="B430" s="48" t="str">
        <f>IF(A430="","", SUMIFS(Transacciones[Monto], Transacciones[ID Cliente], 'Saldo a Favor'!$A430, Transacciones[Tipo de Transacción], Listas!$H$5) - SUMIFS(Transacciones[Monto], Transacciones[ID Cliente], 'Saldo a Favor'!$A430, Transacciones[Tipo de Transacción], Listas!$H$3, Transacciones[Forma de Pago], Listas!$K$6))</f>
        <v/>
      </c>
    </row>
    <row r="431">
      <c r="B431" s="48" t="str">
        <f>IF(A431="","", SUMIFS(Transacciones[Monto], Transacciones[ID Cliente], 'Saldo a Favor'!$A431, Transacciones[Tipo de Transacción], Listas!$H$5) - SUMIFS(Transacciones[Monto], Transacciones[ID Cliente], 'Saldo a Favor'!$A431, Transacciones[Tipo de Transacción], Listas!$H$3, Transacciones[Forma de Pago], Listas!$K$6))</f>
        <v/>
      </c>
    </row>
    <row r="432">
      <c r="B432" s="48" t="str">
        <f>IF(A432="","", SUMIFS(Transacciones[Monto], Transacciones[ID Cliente], 'Saldo a Favor'!$A432, Transacciones[Tipo de Transacción], Listas!$H$5) - SUMIFS(Transacciones[Monto], Transacciones[ID Cliente], 'Saldo a Favor'!$A432, Transacciones[Tipo de Transacción], Listas!$H$3, Transacciones[Forma de Pago], Listas!$K$6))</f>
        <v/>
      </c>
    </row>
    <row r="433">
      <c r="B433" s="48" t="str">
        <f>IF(A433="","", SUMIFS(Transacciones[Monto], Transacciones[ID Cliente], 'Saldo a Favor'!$A433, Transacciones[Tipo de Transacción], Listas!$H$5) - SUMIFS(Transacciones[Monto], Transacciones[ID Cliente], 'Saldo a Favor'!$A433, Transacciones[Tipo de Transacción], Listas!$H$3, Transacciones[Forma de Pago], Listas!$K$6))</f>
        <v/>
      </c>
    </row>
    <row r="434">
      <c r="B434" s="48" t="str">
        <f>IF(A434="","", SUMIFS(Transacciones[Monto], Transacciones[ID Cliente], 'Saldo a Favor'!$A434, Transacciones[Tipo de Transacción], Listas!$H$5) - SUMIFS(Transacciones[Monto], Transacciones[ID Cliente], 'Saldo a Favor'!$A434, Transacciones[Tipo de Transacción], Listas!$H$3, Transacciones[Forma de Pago], Listas!$K$6))</f>
        <v/>
      </c>
    </row>
    <row r="435">
      <c r="B435" s="48" t="str">
        <f>IF(A435="","", SUMIFS(Transacciones[Monto], Transacciones[ID Cliente], 'Saldo a Favor'!$A435, Transacciones[Tipo de Transacción], Listas!$H$5) - SUMIFS(Transacciones[Monto], Transacciones[ID Cliente], 'Saldo a Favor'!$A435, Transacciones[Tipo de Transacción], Listas!$H$3, Transacciones[Forma de Pago], Listas!$K$6))</f>
        <v/>
      </c>
    </row>
    <row r="436">
      <c r="B436" s="48" t="str">
        <f>IF(A436="","", SUMIFS(Transacciones[Monto], Transacciones[ID Cliente], 'Saldo a Favor'!$A436, Transacciones[Tipo de Transacción], Listas!$H$5) - SUMIFS(Transacciones[Monto], Transacciones[ID Cliente], 'Saldo a Favor'!$A436, Transacciones[Tipo de Transacción], Listas!$H$3, Transacciones[Forma de Pago], Listas!$K$6))</f>
        <v/>
      </c>
    </row>
    <row r="437">
      <c r="B437" s="48" t="str">
        <f>IF(A437="","", SUMIFS(Transacciones[Monto], Transacciones[ID Cliente], 'Saldo a Favor'!$A437, Transacciones[Tipo de Transacción], Listas!$H$5) - SUMIFS(Transacciones[Monto], Transacciones[ID Cliente], 'Saldo a Favor'!$A437, Transacciones[Tipo de Transacción], Listas!$H$3, Transacciones[Forma de Pago], Listas!$K$6))</f>
        <v/>
      </c>
    </row>
    <row r="438">
      <c r="B438" s="48" t="str">
        <f>IF(A438="","", SUMIFS(Transacciones[Monto], Transacciones[ID Cliente], 'Saldo a Favor'!$A438, Transacciones[Tipo de Transacción], Listas!$H$5) - SUMIFS(Transacciones[Monto], Transacciones[ID Cliente], 'Saldo a Favor'!$A438, Transacciones[Tipo de Transacción], Listas!$H$3, Transacciones[Forma de Pago], Listas!$K$6))</f>
        <v/>
      </c>
    </row>
    <row r="439">
      <c r="B439" s="48" t="str">
        <f>IF(A439="","", SUMIFS(Transacciones[Monto], Transacciones[ID Cliente], 'Saldo a Favor'!$A439, Transacciones[Tipo de Transacción], Listas!$H$5) - SUMIFS(Transacciones[Monto], Transacciones[ID Cliente], 'Saldo a Favor'!$A439, Transacciones[Tipo de Transacción], Listas!$H$3, Transacciones[Forma de Pago], Listas!$K$6))</f>
        <v/>
      </c>
    </row>
    <row r="440">
      <c r="B440" s="48" t="str">
        <f>IF(A440="","", SUMIFS(Transacciones[Monto], Transacciones[ID Cliente], 'Saldo a Favor'!$A440, Transacciones[Tipo de Transacción], Listas!$H$5) - SUMIFS(Transacciones[Monto], Transacciones[ID Cliente], 'Saldo a Favor'!$A440, Transacciones[Tipo de Transacción], Listas!$H$3, Transacciones[Forma de Pago], Listas!$K$6))</f>
        <v/>
      </c>
    </row>
    <row r="441">
      <c r="B441" s="48" t="str">
        <f>IF(A441="","", SUMIFS(Transacciones[Monto], Transacciones[ID Cliente], 'Saldo a Favor'!$A441, Transacciones[Tipo de Transacción], Listas!$H$5) - SUMIFS(Transacciones[Monto], Transacciones[ID Cliente], 'Saldo a Favor'!$A441, Transacciones[Tipo de Transacción], Listas!$H$3, Transacciones[Forma de Pago], Listas!$K$6))</f>
        <v/>
      </c>
    </row>
    <row r="442">
      <c r="B442" s="48" t="str">
        <f>IF(A442="","", SUMIFS(Transacciones[Monto], Transacciones[ID Cliente], 'Saldo a Favor'!$A442, Transacciones[Tipo de Transacción], Listas!$H$5) - SUMIFS(Transacciones[Monto], Transacciones[ID Cliente], 'Saldo a Favor'!$A442, Transacciones[Tipo de Transacción], Listas!$H$3, Transacciones[Forma de Pago], Listas!$K$6))</f>
        <v/>
      </c>
    </row>
    <row r="443">
      <c r="B443" s="48" t="str">
        <f>IF(A443="","", SUMIFS(Transacciones[Monto], Transacciones[ID Cliente], 'Saldo a Favor'!$A443, Transacciones[Tipo de Transacción], Listas!$H$5) - SUMIFS(Transacciones[Monto], Transacciones[ID Cliente], 'Saldo a Favor'!$A443, Transacciones[Tipo de Transacción], Listas!$H$3, Transacciones[Forma de Pago], Listas!$K$6))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5.25"/>
  </cols>
  <sheetData>
    <row r="1">
      <c r="A1" s="1" t="s">
        <v>122</v>
      </c>
      <c r="B1" s="1" t="s">
        <v>123</v>
      </c>
      <c r="C1" s="1" t="s">
        <v>124</v>
      </c>
    </row>
    <row r="2">
      <c r="A2" s="1" t="s">
        <v>125</v>
      </c>
      <c r="B2" s="1" t="s">
        <v>126</v>
      </c>
      <c r="C2" s="1" t="s">
        <v>127</v>
      </c>
    </row>
    <row r="3">
      <c r="A3" s="1" t="s">
        <v>128</v>
      </c>
      <c r="B3" s="1" t="s">
        <v>129</v>
      </c>
      <c r="C3" s="1" t="s">
        <v>130</v>
      </c>
    </row>
    <row r="4">
      <c r="A4" s="1" t="s">
        <v>131</v>
      </c>
      <c r="B4" s="49" t="s">
        <v>132</v>
      </c>
      <c r="C4" s="1" t="s">
        <v>133</v>
      </c>
    </row>
    <row r="5">
      <c r="A5" s="1" t="s">
        <v>134</v>
      </c>
      <c r="B5" s="49" t="s">
        <v>135</v>
      </c>
    </row>
  </sheetData>
  <hyperlinks>
    <hyperlink r:id="rId1" ref="B4"/>
    <hyperlink r:id="rId2" ref="B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63"/>
  </cols>
  <sheetData>
    <row r="1">
      <c r="A1" s="50" t="s">
        <v>66</v>
      </c>
      <c r="B1" s="51"/>
      <c r="C1" s="52"/>
      <c r="D1" s="53" t="s">
        <v>136</v>
      </c>
      <c r="E1" s="54"/>
      <c r="F1" s="52"/>
      <c r="G1" s="53" t="s">
        <v>75</v>
      </c>
      <c r="H1" s="54"/>
      <c r="I1" s="52"/>
      <c r="J1" s="53" t="s">
        <v>76</v>
      </c>
      <c r="K1" s="54"/>
      <c r="L1" s="54"/>
      <c r="M1" s="52"/>
      <c r="N1" s="53" t="s">
        <v>137</v>
      </c>
      <c r="O1" s="54"/>
      <c r="P1" s="54"/>
      <c r="Q1" s="52"/>
      <c r="R1" s="53" t="s">
        <v>138</v>
      </c>
      <c r="S1" s="54"/>
      <c r="T1" s="52"/>
      <c r="U1" s="53" t="s">
        <v>81</v>
      </c>
      <c r="V1" s="54"/>
      <c r="W1" s="54"/>
      <c r="X1" s="54"/>
      <c r="Y1" s="52"/>
      <c r="Z1" s="53" t="s">
        <v>95</v>
      </c>
      <c r="AA1" s="54"/>
      <c r="AB1" s="52"/>
      <c r="AC1" s="55" t="s">
        <v>69</v>
      </c>
    </row>
    <row r="2">
      <c r="A2" s="56" t="s">
        <v>40</v>
      </c>
      <c r="B2" s="57" t="s">
        <v>38</v>
      </c>
      <c r="C2" s="52"/>
      <c r="D2" s="56" t="s">
        <v>136</v>
      </c>
      <c r="E2" s="57" t="s">
        <v>38</v>
      </c>
      <c r="F2" s="52"/>
      <c r="G2" s="56" t="s">
        <v>40</v>
      </c>
      <c r="H2" s="57" t="s">
        <v>38</v>
      </c>
      <c r="I2" s="52"/>
      <c r="J2" s="56" t="s">
        <v>40</v>
      </c>
      <c r="K2" s="58" t="s">
        <v>38</v>
      </c>
      <c r="L2" s="57" t="s">
        <v>139</v>
      </c>
      <c r="M2" s="52"/>
      <c r="N2" s="56" t="s">
        <v>22</v>
      </c>
      <c r="O2" s="58" t="s">
        <v>38</v>
      </c>
      <c r="P2" s="57" t="s">
        <v>30</v>
      </c>
      <c r="Q2" s="52"/>
      <c r="R2" s="56" t="s">
        <v>46</v>
      </c>
      <c r="S2" s="57" t="s">
        <v>38</v>
      </c>
      <c r="T2" s="52"/>
      <c r="U2" s="56" t="s">
        <v>80</v>
      </c>
      <c r="V2" s="58" t="s">
        <v>140</v>
      </c>
      <c r="W2" s="58" t="s">
        <v>141</v>
      </c>
      <c r="X2" s="57" t="s">
        <v>38</v>
      </c>
      <c r="Y2" s="52"/>
      <c r="Z2" s="56" t="s">
        <v>95</v>
      </c>
      <c r="AA2" s="57" t="s">
        <v>38</v>
      </c>
      <c r="AB2" s="52"/>
      <c r="AC2" s="59">
        <v>0.0</v>
      </c>
    </row>
    <row r="3">
      <c r="A3" s="60" t="s">
        <v>142</v>
      </c>
      <c r="B3" s="61">
        <v>1.0</v>
      </c>
      <c r="C3" s="52"/>
      <c r="D3" s="60" t="s">
        <v>143</v>
      </c>
      <c r="E3" s="61">
        <v>1.0</v>
      </c>
      <c r="F3" s="52"/>
      <c r="G3" s="60" t="s">
        <v>144</v>
      </c>
      <c r="H3" s="61">
        <v>1.0</v>
      </c>
      <c r="I3" s="52"/>
      <c r="J3" s="60" t="s">
        <v>145</v>
      </c>
      <c r="K3" s="62">
        <v>1.0</v>
      </c>
      <c r="L3" s="63" t="s">
        <v>146</v>
      </c>
      <c r="M3" s="52"/>
      <c r="N3" s="60" t="s">
        <v>147</v>
      </c>
      <c r="O3" s="62">
        <v>1.0</v>
      </c>
      <c r="P3" s="64">
        <f>+52</f>
        <v>52</v>
      </c>
      <c r="Q3" s="52"/>
      <c r="R3" s="60" t="s">
        <v>148</v>
      </c>
      <c r="S3" s="61">
        <v>1.0</v>
      </c>
      <c r="T3" s="52"/>
      <c r="U3" s="60" t="s">
        <v>149</v>
      </c>
      <c r="V3" s="65" t="s">
        <v>149</v>
      </c>
      <c r="W3" s="66">
        <v>1.0</v>
      </c>
      <c r="X3" s="61">
        <v>1.0</v>
      </c>
      <c r="Y3" s="52"/>
      <c r="Z3" s="60" t="s">
        <v>150</v>
      </c>
      <c r="AA3" s="61">
        <v>1.0</v>
      </c>
      <c r="AB3" s="52"/>
      <c r="AC3" s="67">
        <v>0.1</v>
      </c>
    </row>
    <row r="4">
      <c r="A4" s="68" t="s">
        <v>151</v>
      </c>
      <c r="B4" s="69">
        <v>2.0</v>
      </c>
      <c r="C4" s="52"/>
      <c r="D4" s="68" t="s">
        <v>152</v>
      </c>
      <c r="E4" s="69">
        <v>2.0</v>
      </c>
      <c r="F4" s="52"/>
      <c r="G4" s="68" t="s">
        <v>153</v>
      </c>
      <c r="H4" s="69">
        <v>2.0</v>
      </c>
      <c r="I4" s="52"/>
      <c r="J4" s="68" t="s">
        <v>154</v>
      </c>
      <c r="K4" s="70">
        <v>2.0</v>
      </c>
      <c r="L4" s="69">
        <v>0.0</v>
      </c>
      <c r="M4" s="52"/>
      <c r="N4" s="68" t="s">
        <v>155</v>
      </c>
      <c r="O4" s="70">
        <v>2.0</v>
      </c>
      <c r="P4" s="71">
        <f>+1</f>
        <v>1</v>
      </c>
      <c r="Q4" s="52"/>
      <c r="R4" s="68" t="s">
        <v>156</v>
      </c>
      <c r="S4" s="69">
        <v>2.0</v>
      </c>
      <c r="T4" s="52"/>
      <c r="U4" s="68" t="s">
        <v>157</v>
      </c>
      <c r="V4" s="72" t="s">
        <v>158</v>
      </c>
      <c r="W4" s="73">
        <v>18.02</v>
      </c>
      <c r="X4" s="69">
        <v>2.0</v>
      </c>
      <c r="Y4" s="52"/>
      <c r="Z4" s="68" t="s">
        <v>159</v>
      </c>
      <c r="AA4" s="69">
        <v>2.0</v>
      </c>
      <c r="AB4" s="52"/>
      <c r="AC4" s="74">
        <v>0.2</v>
      </c>
    </row>
    <row r="5">
      <c r="A5" s="52"/>
      <c r="B5" s="52"/>
      <c r="C5" s="52"/>
      <c r="D5" s="60" t="s">
        <v>160</v>
      </c>
      <c r="E5" s="61">
        <v>3.0</v>
      </c>
      <c r="F5" s="52"/>
      <c r="G5" s="60" t="s">
        <v>161</v>
      </c>
      <c r="H5" s="61">
        <v>3.0</v>
      </c>
      <c r="I5" s="52"/>
      <c r="J5" s="60" t="s">
        <v>162</v>
      </c>
      <c r="K5" s="62">
        <v>3.0</v>
      </c>
      <c r="L5" s="61">
        <v>0.0</v>
      </c>
      <c r="M5" s="52"/>
      <c r="N5" s="60" t="s">
        <v>163</v>
      </c>
      <c r="O5" s="62">
        <v>3.0</v>
      </c>
      <c r="P5" s="64">
        <f>+55</f>
        <v>55</v>
      </c>
      <c r="Q5" s="52"/>
      <c r="R5" s="60" t="s">
        <v>164</v>
      </c>
      <c r="S5" s="61">
        <v>3.0</v>
      </c>
      <c r="T5" s="52"/>
      <c r="U5" s="60" t="s">
        <v>165</v>
      </c>
      <c r="V5" s="65" t="s">
        <v>166</v>
      </c>
      <c r="W5" s="66">
        <v>3.25</v>
      </c>
      <c r="X5" s="61">
        <v>3.0</v>
      </c>
      <c r="Y5" s="52"/>
      <c r="Z5" s="60" t="s">
        <v>167</v>
      </c>
      <c r="AA5" s="61">
        <v>3.0</v>
      </c>
      <c r="AB5" s="52"/>
      <c r="AC5" s="67">
        <v>0.3</v>
      </c>
    </row>
    <row r="6">
      <c r="A6" s="52"/>
      <c r="B6" s="52"/>
      <c r="C6" s="52"/>
      <c r="D6" s="68" t="s">
        <v>168</v>
      </c>
      <c r="E6" s="69">
        <v>4.0</v>
      </c>
      <c r="F6" s="52"/>
      <c r="G6" s="52"/>
      <c r="H6" s="52"/>
      <c r="I6" s="52"/>
      <c r="J6" s="68" t="s">
        <v>121</v>
      </c>
      <c r="K6" s="70">
        <v>4.0</v>
      </c>
      <c r="L6" s="69">
        <v>0.0</v>
      </c>
      <c r="M6" s="52"/>
      <c r="N6" s="52"/>
      <c r="O6" s="52"/>
      <c r="P6" s="52"/>
      <c r="Q6" s="52"/>
      <c r="R6" s="52"/>
      <c r="S6" s="52"/>
      <c r="T6" s="52"/>
      <c r="U6" s="68" t="s">
        <v>169</v>
      </c>
      <c r="V6" s="72" t="s">
        <v>170</v>
      </c>
      <c r="W6" s="70">
        <v>21.0912</v>
      </c>
      <c r="X6" s="69">
        <v>4.0</v>
      </c>
      <c r="Y6" s="52"/>
      <c r="Z6" s="75" t="s">
        <v>171</v>
      </c>
      <c r="AA6" s="75">
        <v>4.0</v>
      </c>
      <c r="AB6" s="52"/>
      <c r="AC6" s="74">
        <v>0.4</v>
      </c>
    </row>
    <row r="7">
      <c r="A7" s="52"/>
      <c r="B7" s="52"/>
      <c r="C7" s="52"/>
      <c r="D7" s="60" t="s">
        <v>172</v>
      </c>
      <c r="E7" s="61">
        <v>5.0</v>
      </c>
      <c r="F7" s="52"/>
      <c r="G7" s="52"/>
      <c r="H7" s="52"/>
      <c r="I7" s="52"/>
      <c r="J7" s="75" t="s">
        <v>173</v>
      </c>
      <c r="K7" s="75">
        <v>5.0</v>
      </c>
      <c r="L7" s="75">
        <v>0.0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67">
        <v>0.5</v>
      </c>
    </row>
    <row r="8">
      <c r="A8" s="52"/>
      <c r="B8" s="52"/>
      <c r="C8" s="52"/>
      <c r="D8" s="68" t="s">
        <v>174</v>
      </c>
      <c r="E8" s="69">
        <v>6.0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74">
        <v>0.6</v>
      </c>
    </row>
    <row r="9">
      <c r="A9" s="52"/>
      <c r="B9" s="52"/>
      <c r="C9" s="52"/>
      <c r="D9" s="60" t="s">
        <v>175</v>
      </c>
      <c r="E9" s="61">
        <v>7.0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67">
        <v>0.7</v>
      </c>
    </row>
    <row r="10">
      <c r="A10" s="52"/>
      <c r="B10" s="52"/>
      <c r="C10" s="52"/>
      <c r="D10" s="75"/>
      <c r="E10" s="75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74">
        <v>0.8</v>
      </c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67">
        <v>0.9</v>
      </c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74">
        <v>1.0</v>
      </c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67">
        <v>1.1</v>
      </c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74">
        <v>1.2</v>
      </c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67">
        <v>1.3</v>
      </c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74">
        <v>1.4</v>
      </c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67">
        <v>1.5</v>
      </c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74">
        <v>1.6</v>
      </c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67">
        <v>1.7</v>
      </c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74">
        <v>1.8</v>
      </c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67">
        <v>1.9</v>
      </c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74">
        <v>2.0</v>
      </c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67">
        <v>2.1</v>
      </c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74">
        <v>2.2</v>
      </c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67">
        <v>2.3</v>
      </c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74">
        <v>2.4</v>
      </c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67">
        <v>2.5</v>
      </c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74">
        <v>2.6</v>
      </c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7">
        <v>2.7</v>
      </c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74">
        <v>2.8</v>
      </c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7">
        <v>2.9</v>
      </c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74">
        <v>3.0</v>
      </c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67">
        <v>3.1</v>
      </c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74">
        <v>3.2</v>
      </c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67">
        <v>3.3</v>
      </c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74">
        <v>3.4</v>
      </c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67">
        <v>3.5</v>
      </c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74">
        <v>3.6</v>
      </c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67">
        <v>3.7</v>
      </c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74">
        <v>3.8</v>
      </c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67">
        <v>3.9</v>
      </c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74">
        <v>4.0</v>
      </c>
    </row>
    <row r="43">
      <c r="AC43" s="1">
        <v>4.1</v>
      </c>
    </row>
    <row r="44">
      <c r="AC44" s="1">
        <v>4.2</v>
      </c>
    </row>
    <row r="45">
      <c r="AC45" s="1">
        <v>4.3</v>
      </c>
    </row>
    <row r="46">
      <c r="AC46" s="1">
        <v>4.4</v>
      </c>
    </row>
    <row r="47">
      <c r="AC47" s="1">
        <v>4.5</v>
      </c>
    </row>
    <row r="48">
      <c r="AC48" s="1">
        <v>4.6</v>
      </c>
    </row>
    <row r="49">
      <c r="AC49" s="1">
        <v>4.7</v>
      </c>
    </row>
    <row r="50">
      <c r="AC50" s="1">
        <v>4.8</v>
      </c>
    </row>
    <row r="51">
      <c r="AC51" s="1">
        <v>4.9</v>
      </c>
    </row>
    <row r="52">
      <c r="AC52" s="1">
        <v>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176</v>
      </c>
      <c r="B1" s="1" t="s">
        <v>177</v>
      </c>
      <c r="C1" s="1" t="s">
        <v>178</v>
      </c>
    </row>
    <row r="2">
      <c r="A2" s="1">
        <v>1.0</v>
      </c>
      <c r="B2" s="1" t="s">
        <v>9</v>
      </c>
      <c r="C2" s="1">
        <v>10.0</v>
      </c>
      <c r="D2" s="1" t="s">
        <v>179</v>
      </c>
    </row>
    <row r="3">
      <c r="A3" s="1">
        <v>2.0</v>
      </c>
      <c r="B3" s="1" t="s">
        <v>180</v>
      </c>
      <c r="C3" s="1">
        <v>1.0</v>
      </c>
      <c r="D3" s="1" t="s">
        <v>181</v>
      </c>
    </row>
    <row r="4">
      <c r="A4" s="1">
        <v>3.0</v>
      </c>
      <c r="B4" s="1" t="s">
        <v>182</v>
      </c>
      <c r="C4" s="1">
        <v>5.0</v>
      </c>
      <c r="D4" s="1" t="s">
        <v>183</v>
      </c>
    </row>
  </sheetData>
  <drawing r:id="rId1"/>
</worksheet>
</file>